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932151754\Documents\Developpement POC Education nationnale\EDN1\Excel et data\"/>
    </mc:Choice>
  </mc:AlternateContent>
  <xr:revisionPtr revIDLastSave="0" documentId="13_ncr:1_{39E81264-81E4-4E28-B50B-BDB662C6675D}" xr6:coauthVersionLast="47" xr6:coauthVersionMax="47" xr10:uidLastSave="{00000000-0000-0000-0000-000000000000}"/>
  <bookViews>
    <workbookView xWindow="0" yWindow="360" windowWidth="19360" windowHeight="11440" xr2:uid="{00000000-000D-0000-FFFF-FFFF00000000}"/>
  </bookViews>
  <sheets>
    <sheet name="Étude_IEF_15012025" sheetId="1" r:id="rId1"/>
  </sheets>
  <definedNames>
    <definedName name="_xlnm._FilterDatabase" localSheetId="0" hidden="1">Étude_IEF_15012025!$A$1:$AD$200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V200" i="1"/>
  <c r="Y200" i="1" s="1"/>
  <c r="V199" i="1"/>
  <c r="V198" i="1"/>
  <c r="V197" i="1"/>
  <c r="AA197" i="1" s="1"/>
  <c r="V196" i="1"/>
  <c r="AC196" i="1" s="1"/>
  <c r="V195" i="1"/>
  <c r="AC195" i="1" s="1"/>
  <c r="V194" i="1"/>
  <c r="AA194" i="1" s="1"/>
  <c r="V193" i="1"/>
  <c r="V192" i="1"/>
  <c r="X192" i="1" s="1"/>
  <c r="V191" i="1"/>
  <c r="Z191" i="1" s="1"/>
  <c r="V190" i="1"/>
  <c r="AC190" i="1" s="1"/>
  <c r="V189" i="1"/>
  <c r="AC189" i="1" s="1"/>
  <c r="V188" i="1"/>
  <c r="V187" i="1"/>
  <c r="AA187" i="1" s="1"/>
  <c r="V186" i="1"/>
  <c r="AB186" i="1" s="1"/>
  <c r="V185" i="1"/>
  <c r="AA185" i="1" s="1"/>
  <c r="V184" i="1"/>
  <c r="AA184" i="1" s="1"/>
  <c r="V183" i="1"/>
  <c r="V182" i="1"/>
  <c r="AC182" i="1" s="1"/>
  <c r="V181" i="1"/>
  <c r="AC181" i="1" s="1"/>
  <c r="V180" i="1"/>
  <c r="AA180" i="1" s="1"/>
  <c r="V179" i="1"/>
  <c r="V178" i="1"/>
  <c r="V177" i="1"/>
  <c r="AC177" i="1" s="1"/>
  <c r="V176" i="1"/>
  <c r="X176" i="1" s="1"/>
  <c r="V175" i="1"/>
  <c r="AB175" i="1" s="1"/>
  <c r="V174" i="1"/>
  <c r="V173" i="1"/>
  <c r="V172" i="1"/>
  <c r="AB172" i="1" s="1"/>
  <c r="V171" i="1"/>
  <c r="Z171" i="1" s="1"/>
  <c r="V170" i="1"/>
  <c r="AA170" i="1" s="1"/>
  <c r="V169" i="1"/>
  <c r="Y169" i="1" s="1"/>
  <c r="V168" i="1"/>
  <c r="V167" i="1"/>
  <c r="AB167" i="1" s="1"/>
  <c r="V166" i="1"/>
  <c r="AC166" i="1" s="1"/>
  <c r="V165" i="1"/>
  <c r="AA165" i="1" s="1"/>
  <c r="V164" i="1"/>
  <c r="V163" i="1"/>
  <c r="AC163" i="1" s="1"/>
  <c r="V162" i="1"/>
  <c r="AB162" i="1" s="1"/>
  <c r="V161" i="1"/>
  <c r="V160" i="1"/>
  <c r="V159" i="1"/>
  <c r="X159" i="1" s="1"/>
  <c r="V158" i="1"/>
  <c r="AA158" i="1" s="1"/>
  <c r="V157" i="1"/>
  <c r="AC157" i="1" s="1"/>
  <c r="V156" i="1"/>
  <c r="V155" i="1"/>
  <c r="AC155" i="1" s="1"/>
  <c r="V154" i="1"/>
  <c r="V153" i="1"/>
  <c r="X153" i="1" s="1"/>
  <c r="V152" i="1"/>
  <c r="V151" i="1"/>
  <c r="V150" i="1"/>
  <c r="Y150" i="1" s="1"/>
  <c r="V149" i="1"/>
  <c r="V148" i="1"/>
  <c r="AC148" i="1" s="1"/>
  <c r="V147" i="1"/>
  <c r="V146" i="1"/>
  <c r="V145" i="1"/>
  <c r="V144" i="1"/>
  <c r="W144" i="1" s="1"/>
  <c r="V143" i="1"/>
  <c r="V142" i="1"/>
  <c r="AB142" i="1" s="1"/>
  <c r="V141" i="1"/>
  <c r="AC141" i="1" s="1"/>
  <c r="V140" i="1"/>
  <c r="V139" i="1"/>
  <c r="W139" i="1" s="1"/>
  <c r="V138" i="1"/>
  <c r="V137" i="1"/>
  <c r="V136" i="1"/>
  <c r="Y136" i="1" s="1"/>
  <c r="V135" i="1"/>
  <c r="V134" i="1"/>
  <c r="W134" i="1" s="1"/>
  <c r="V133" i="1"/>
  <c r="V132" i="1"/>
  <c r="X132" i="1" s="1"/>
  <c r="V131" i="1"/>
  <c r="Y131" i="1" s="1"/>
  <c r="V130" i="1"/>
  <c r="Y130" i="1" s="1"/>
  <c r="V129" i="1"/>
  <c r="V128" i="1"/>
  <c r="W128" i="1" s="1"/>
  <c r="V127" i="1"/>
  <c r="V126" i="1"/>
  <c r="V125" i="1"/>
  <c r="V124" i="1"/>
  <c r="X124" i="1" s="1"/>
  <c r="V123" i="1"/>
  <c r="V122" i="1"/>
  <c r="V121" i="1"/>
  <c r="AA121" i="1" s="1"/>
  <c r="V120" i="1"/>
  <c r="Y120" i="1" s="1"/>
  <c r="V119" i="1"/>
  <c r="AC119" i="1" s="1"/>
  <c r="V118" i="1"/>
  <c r="AC118" i="1" s="1"/>
  <c r="V117" i="1"/>
  <c r="W117" i="1" s="1"/>
  <c r="V116" i="1"/>
  <c r="X116" i="1" s="1"/>
  <c r="V115" i="1"/>
  <c r="AA115" i="1" s="1"/>
  <c r="V114" i="1"/>
  <c r="AC114" i="1" s="1"/>
  <c r="V113" i="1"/>
  <c r="W113" i="1" s="1"/>
  <c r="V112" i="1"/>
  <c r="V111" i="1"/>
  <c r="Y111" i="1" s="1"/>
  <c r="V110" i="1"/>
  <c r="V109" i="1"/>
  <c r="Z109" i="1" s="1"/>
  <c r="V108" i="1"/>
  <c r="AC108" i="1" s="1"/>
  <c r="V107" i="1"/>
  <c r="AB107" i="1" s="1"/>
  <c r="V106" i="1"/>
  <c r="AA106" i="1" s="1"/>
  <c r="V105" i="1"/>
  <c r="AA105" i="1" s="1"/>
  <c r="V104" i="1"/>
  <c r="V103" i="1"/>
  <c r="V102" i="1"/>
  <c r="V101" i="1"/>
  <c r="Y101" i="1" s="1"/>
  <c r="V100" i="1"/>
  <c r="Y100" i="1" s="1"/>
  <c r="V99" i="1"/>
  <c r="V98" i="1"/>
  <c r="V97" i="1"/>
  <c r="V96" i="1"/>
  <c r="W96" i="1" s="1"/>
  <c r="V95" i="1"/>
  <c r="W95" i="1" s="1"/>
  <c r="V94" i="1"/>
  <c r="X94" i="1" s="1"/>
  <c r="V93" i="1"/>
  <c r="V92" i="1"/>
  <c r="V91" i="1"/>
  <c r="Z91" i="1" s="1"/>
  <c r="V90" i="1"/>
  <c r="V89" i="1"/>
  <c r="X89" i="1" s="1"/>
  <c r="V88" i="1"/>
  <c r="AC88" i="1" s="1"/>
  <c r="V87" i="1"/>
  <c r="AA87" i="1" s="1"/>
  <c r="V86" i="1"/>
  <c r="Z86" i="1" s="1"/>
  <c r="V85" i="1"/>
  <c r="V84" i="1"/>
  <c r="Y84" i="1" s="1"/>
  <c r="Z2" i="1"/>
  <c r="V3" i="1"/>
  <c r="Y3" i="1" s="1"/>
  <c r="V4" i="1"/>
  <c r="V5" i="1"/>
  <c r="V6" i="1"/>
  <c r="X6" i="1" s="1"/>
  <c r="V7" i="1"/>
  <c r="W7" i="1" s="1"/>
  <c r="V8" i="1"/>
  <c r="V9" i="1"/>
  <c r="X9" i="1" s="1"/>
  <c r="V10" i="1"/>
  <c r="X10" i="1" s="1"/>
  <c r="V11" i="1"/>
  <c r="X11" i="1" s="1"/>
  <c r="V12" i="1"/>
  <c r="X12" i="1" s="1"/>
  <c r="V13" i="1"/>
  <c r="W13" i="1" s="1"/>
  <c r="V14" i="1"/>
  <c r="W14" i="1" s="1"/>
  <c r="V15" i="1"/>
  <c r="AB15" i="1" s="1"/>
  <c r="V16" i="1"/>
  <c r="W16" i="1" s="1"/>
  <c r="V17" i="1"/>
  <c r="Z17" i="1" s="1"/>
  <c r="V18" i="1"/>
  <c r="X18" i="1" s="1"/>
  <c r="V19" i="1"/>
  <c r="AC19" i="1" s="1"/>
  <c r="V20" i="1"/>
  <c r="V21" i="1"/>
  <c r="AB21" i="1" s="1"/>
  <c r="V22" i="1"/>
  <c r="AA22" i="1" s="1"/>
  <c r="V23" i="1"/>
  <c r="V24" i="1"/>
  <c r="V25" i="1"/>
  <c r="Y25" i="1" s="1"/>
  <c r="V26" i="1"/>
  <c r="W26" i="1" s="1"/>
  <c r="V27" i="1"/>
  <c r="Y27" i="1" s="1"/>
  <c r="V28" i="1"/>
  <c r="V29" i="1"/>
  <c r="AC29" i="1" s="1"/>
  <c r="V30" i="1"/>
  <c r="Z30" i="1" s="1"/>
  <c r="V31" i="1"/>
  <c r="W31" i="1" s="1"/>
  <c r="V32" i="1"/>
  <c r="AC32" i="1" s="1"/>
  <c r="V33" i="1"/>
  <c r="AA33" i="1" s="1"/>
  <c r="V34" i="1"/>
  <c r="X34" i="1" s="1"/>
  <c r="V35" i="1"/>
  <c r="AA35" i="1" s="1"/>
  <c r="V36" i="1"/>
  <c r="AA36" i="1" s="1"/>
  <c r="V37" i="1"/>
  <c r="W37" i="1" s="1"/>
  <c r="V38" i="1"/>
  <c r="Z38" i="1" s="1"/>
  <c r="V39" i="1"/>
  <c r="Z39" i="1" s="1"/>
  <c r="V40" i="1"/>
  <c r="W40" i="1" s="1"/>
  <c r="V41" i="1"/>
  <c r="X41" i="1" s="1"/>
  <c r="V42" i="1"/>
  <c r="V43" i="1"/>
  <c r="AB43" i="1" s="1"/>
  <c r="V44" i="1"/>
  <c r="Y44" i="1" s="1"/>
  <c r="V45" i="1"/>
  <c r="Z45" i="1" s="1"/>
  <c r="V46" i="1"/>
  <c r="V47" i="1"/>
  <c r="Z47" i="1" s="1"/>
  <c r="V48" i="1"/>
  <c r="X48" i="1" s="1"/>
  <c r="V49" i="1"/>
  <c r="Z49" i="1" s="1"/>
  <c r="V50" i="1"/>
  <c r="X50" i="1" s="1"/>
  <c r="V51" i="1"/>
  <c r="AB51" i="1" s="1"/>
  <c r="V52" i="1"/>
  <c r="Z52" i="1" s="1"/>
  <c r="V53" i="1"/>
  <c r="W53" i="1" s="1"/>
  <c r="V54" i="1"/>
  <c r="AC54" i="1" s="1"/>
  <c r="V55" i="1"/>
  <c r="Y55" i="1" s="1"/>
  <c r="V56" i="1"/>
  <c r="Y56" i="1" s="1"/>
  <c r="V57" i="1"/>
  <c r="W57" i="1" s="1"/>
  <c r="V58" i="1"/>
  <c r="Z58" i="1" s="1"/>
  <c r="V59" i="1"/>
  <c r="W59" i="1" s="1"/>
  <c r="V60" i="1"/>
  <c r="W60" i="1" s="1"/>
  <c r="V61" i="1"/>
  <c r="Y61" i="1" s="1"/>
  <c r="V62" i="1"/>
  <c r="AA62" i="1" s="1"/>
  <c r="V63" i="1"/>
  <c r="V64" i="1"/>
  <c r="AB64" i="1" s="1"/>
  <c r="V65" i="1"/>
  <c r="W65" i="1" s="1"/>
  <c r="V66" i="1"/>
  <c r="AC66" i="1" s="1"/>
  <c r="V67" i="1"/>
  <c r="X67" i="1" s="1"/>
  <c r="V68" i="1"/>
  <c r="X68" i="1" s="1"/>
  <c r="V69" i="1"/>
  <c r="W69" i="1" s="1"/>
  <c r="V70" i="1"/>
  <c r="AB70" i="1" s="1"/>
  <c r="V71" i="1"/>
  <c r="W71" i="1" s="1"/>
  <c r="V72" i="1"/>
  <c r="AA72" i="1" s="1"/>
  <c r="V73" i="1"/>
  <c r="W73" i="1" s="1"/>
  <c r="V74" i="1"/>
  <c r="AC74" i="1" s="1"/>
  <c r="V75" i="1"/>
  <c r="AA75" i="1" s="1"/>
  <c r="V76" i="1"/>
  <c r="V77" i="1"/>
  <c r="Y77" i="1" s="1"/>
  <c r="V78" i="1"/>
  <c r="W78" i="1" s="1"/>
  <c r="V79" i="1"/>
  <c r="V80" i="1"/>
  <c r="AB80" i="1" s="1"/>
  <c r="V81" i="1"/>
  <c r="V82" i="1"/>
  <c r="W82" i="1" s="1"/>
  <c r="V83" i="1"/>
  <c r="W83" i="1" s="1"/>
  <c r="Y163" i="1" l="1"/>
  <c r="AB35" i="1"/>
  <c r="AA21" i="1"/>
  <c r="AB65" i="1"/>
  <c r="AC187" i="1"/>
  <c r="AB192" i="1"/>
  <c r="AC167" i="1"/>
  <c r="AC159" i="1"/>
  <c r="AA55" i="1"/>
  <c r="X73" i="1"/>
  <c r="W157" i="1"/>
  <c r="W185" i="1"/>
  <c r="AA196" i="1"/>
  <c r="AA157" i="1"/>
  <c r="Z94" i="1"/>
  <c r="X131" i="1"/>
  <c r="AC94" i="1"/>
  <c r="Z131" i="1"/>
  <c r="AB9" i="1"/>
  <c r="X75" i="1"/>
  <c r="X65" i="1"/>
  <c r="Y62" i="1"/>
  <c r="X21" i="1"/>
  <c r="Z60" i="1"/>
  <c r="X69" i="1"/>
  <c r="AC98" i="1"/>
  <c r="Z98" i="1"/>
  <c r="AA69" i="1"/>
  <c r="AA73" i="1"/>
  <c r="AA27" i="1"/>
  <c r="AC15" i="1"/>
  <c r="Z170" i="1"/>
  <c r="W159" i="1"/>
  <c r="AB197" i="1"/>
  <c r="AC191" i="1"/>
  <c r="AA163" i="1"/>
  <c r="X170" i="1"/>
  <c r="AA182" i="1"/>
  <c r="Z185" i="1"/>
  <c r="Y49" i="1"/>
  <c r="AC13" i="1"/>
  <c r="Y41" i="1"/>
  <c r="AA13" i="1"/>
  <c r="X93" i="1"/>
  <c r="AC93" i="1"/>
  <c r="AA59" i="1"/>
  <c r="W50" i="1"/>
  <c r="W41" i="1"/>
  <c r="X39" i="1"/>
  <c r="AA39" i="1"/>
  <c r="AB13" i="1"/>
  <c r="Y13" i="1"/>
  <c r="X82" i="1"/>
  <c r="W77" i="1"/>
  <c r="Y67" i="1"/>
  <c r="X44" i="1"/>
  <c r="AB7" i="1"/>
  <c r="Y82" i="1"/>
  <c r="W67" i="1"/>
  <c r="AB53" i="1"/>
  <c r="W44" i="1"/>
  <c r="Y10" i="1"/>
  <c r="W10" i="1"/>
  <c r="AA10" i="1"/>
  <c r="W126" i="1"/>
  <c r="AC126" i="1"/>
  <c r="AC7" i="1"/>
  <c r="Y7" i="1"/>
  <c r="AB103" i="1"/>
  <c r="W103" i="1"/>
  <c r="W129" i="1"/>
  <c r="X129" i="1"/>
  <c r="AC129" i="1"/>
  <c r="Y107" i="1"/>
  <c r="W194" i="1"/>
  <c r="AC91" i="1"/>
  <c r="AB157" i="1"/>
  <c r="AB170" i="1"/>
  <c r="W177" i="1"/>
  <c r="AC185" i="1"/>
  <c r="W158" i="1"/>
  <c r="AB159" i="1"/>
  <c r="Y180" i="1"/>
  <c r="AB55" i="1"/>
  <c r="Z55" i="1"/>
  <c r="Y47" i="1"/>
  <c r="X47" i="1"/>
  <c r="AC2" i="1"/>
  <c r="X85" i="1"/>
  <c r="AA85" i="1"/>
  <c r="Y85" i="1"/>
  <c r="AC27" i="1"/>
  <c r="X27" i="1"/>
  <c r="Z25" i="1"/>
  <c r="X25" i="1"/>
  <c r="Y2" i="1"/>
  <c r="W2" i="1"/>
  <c r="AA2" i="1"/>
  <c r="X71" i="1"/>
  <c r="Y71" i="1"/>
  <c r="AC69" i="1"/>
  <c r="Z69" i="1"/>
  <c r="Y28" i="1"/>
  <c r="AA28" i="1"/>
  <c r="W80" i="1"/>
  <c r="Z80" i="1"/>
  <c r="AA80" i="1"/>
  <c r="Z74" i="1"/>
  <c r="Y51" i="1"/>
  <c r="Y45" i="1"/>
  <c r="AB39" i="1"/>
  <c r="W39" i="1"/>
  <c r="Y39" i="1"/>
  <c r="X26" i="1"/>
  <c r="W76" i="1"/>
  <c r="X76" i="1"/>
  <c r="Y74" i="1"/>
  <c r="X58" i="1"/>
  <c r="W58" i="1"/>
  <c r="W51" i="1"/>
  <c r="W52" i="1"/>
  <c r="Y52" i="1"/>
  <c r="AA19" i="1"/>
  <c r="AB19" i="1"/>
  <c r="AA41" i="1"/>
  <c r="AC113" i="1"/>
  <c r="AB116" i="1"/>
  <c r="AA124" i="1"/>
  <c r="Y144" i="1"/>
  <c r="Y158" i="1"/>
  <c r="Y177" i="1"/>
  <c r="AA198" i="1"/>
  <c r="X198" i="1"/>
  <c r="AC124" i="1"/>
  <c r="AB144" i="1"/>
  <c r="AC158" i="1"/>
  <c r="Z194" i="1"/>
  <c r="X194" i="1"/>
  <c r="AB194" i="1"/>
  <c r="Y198" i="1"/>
  <c r="AA191" i="1"/>
  <c r="AB191" i="1"/>
  <c r="Z13" i="1"/>
  <c r="Z93" i="1"/>
  <c r="X109" i="1"/>
  <c r="Z120" i="1"/>
  <c r="Z157" i="1"/>
  <c r="X157" i="1"/>
  <c r="AC162" i="1"/>
  <c r="X13" i="1"/>
  <c r="Z7" i="1"/>
  <c r="AB86" i="1"/>
  <c r="X113" i="1"/>
  <c r="Z115" i="1"/>
  <c r="Y157" i="1"/>
  <c r="AA175" i="1"/>
  <c r="Z179" i="1"/>
  <c r="X179" i="1"/>
  <c r="W189" i="1"/>
  <c r="Z196" i="1"/>
  <c r="W196" i="1"/>
  <c r="Y113" i="1"/>
  <c r="AB177" i="1"/>
  <c r="AA177" i="1"/>
  <c r="X177" i="1"/>
  <c r="AA113" i="1"/>
  <c r="W124" i="1"/>
  <c r="Y173" i="1"/>
  <c r="AA173" i="1"/>
  <c r="Y185" i="1"/>
  <c r="AB185" i="1"/>
  <c r="AC75" i="1"/>
  <c r="AB75" i="1"/>
  <c r="AB4" i="1"/>
  <c r="W4" i="1"/>
  <c r="AB92" i="1"/>
  <c r="W92" i="1"/>
  <c r="AC70" i="1"/>
  <c r="W70" i="1"/>
  <c r="Y81" i="1"/>
  <c r="Z81" i="1"/>
  <c r="X83" i="1"/>
  <c r="X78" i="1"/>
  <c r="AA78" i="1"/>
  <c r="Y59" i="1"/>
  <c r="Z23" i="1"/>
  <c r="X23" i="1"/>
  <c r="Y9" i="1"/>
  <c r="X92" i="1"/>
  <c r="AA83" i="1"/>
  <c r="AC68" i="1"/>
  <c r="AA70" i="1"/>
  <c r="Y68" i="1"/>
  <c r="W63" i="1"/>
  <c r="Z63" i="1"/>
  <c r="Z70" i="1"/>
  <c r="AB69" i="1"/>
  <c r="W62" i="1"/>
  <c r="X62" i="1"/>
  <c r="Y57" i="1"/>
  <c r="W45" i="1"/>
  <c r="X45" i="1"/>
  <c r="Y38" i="1"/>
  <c r="AB38" i="1"/>
  <c r="AB27" i="1"/>
  <c r="Z27" i="1"/>
  <c r="W27" i="1"/>
  <c r="Z21" i="1"/>
  <c r="W21" i="1"/>
  <c r="Y21" i="1"/>
  <c r="AB85" i="1"/>
  <c r="Z85" i="1"/>
  <c r="W85" i="1"/>
  <c r="AC85" i="1"/>
  <c r="Y91" i="1"/>
  <c r="W91" i="1"/>
  <c r="AB188" i="1"/>
  <c r="W188" i="1"/>
  <c r="X70" i="1"/>
  <c r="Z59" i="1"/>
  <c r="X59" i="1"/>
  <c r="AB59" i="1"/>
  <c r="W54" i="1"/>
  <c r="Z54" i="1"/>
  <c r="AC28" i="1"/>
  <c r="W9" i="1"/>
  <c r="AA9" i="1"/>
  <c r="AC12" i="1"/>
  <c r="Y12" i="1"/>
  <c r="AC138" i="1"/>
  <c r="Y138" i="1"/>
  <c r="AB138" i="1"/>
  <c r="AA138" i="1"/>
  <c r="Z138" i="1"/>
  <c r="X138" i="1"/>
  <c r="W138" i="1"/>
  <c r="X81" i="1"/>
  <c r="Y76" i="1"/>
  <c r="Z75" i="1"/>
  <c r="Z51" i="1"/>
  <c r="X51" i="1"/>
  <c r="AA51" i="1"/>
  <c r="Y99" i="1"/>
  <c r="AB99" i="1"/>
  <c r="AB174" i="1"/>
  <c r="AA174" i="1"/>
  <c r="AB28" i="1"/>
  <c r="W28" i="1"/>
  <c r="W106" i="1"/>
  <c r="Z106" i="1"/>
  <c r="Y106" i="1"/>
  <c r="Y83" i="1"/>
  <c r="Z83" i="1"/>
  <c r="AB83" i="1"/>
  <c r="X80" i="1"/>
  <c r="W75" i="1"/>
  <c r="AC59" i="1"/>
  <c r="W29" i="1"/>
  <c r="AB29" i="1"/>
  <c r="Y5" i="1"/>
  <c r="X5" i="1"/>
  <c r="Y4" i="1"/>
  <c r="Z89" i="1"/>
  <c r="AC89" i="1"/>
  <c r="AA97" i="1"/>
  <c r="Y97" i="1"/>
  <c r="X97" i="1"/>
  <c r="X118" i="1"/>
  <c r="AA118" i="1"/>
  <c r="Y118" i="1"/>
  <c r="AB118" i="1"/>
  <c r="W155" i="1"/>
  <c r="Y165" i="1"/>
  <c r="AB165" i="1"/>
  <c r="AA176" i="1"/>
  <c r="AC176" i="1"/>
  <c r="AB189" i="1"/>
  <c r="Z189" i="1"/>
  <c r="Y189" i="1"/>
  <c r="AC193" i="1"/>
  <c r="Z193" i="1"/>
  <c r="Z44" i="1"/>
  <c r="Z41" i="1"/>
  <c r="AA7" i="1"/>
  <c r="AB2" i="1"/>
  <c r="AB93" i="1"/>
  <c r="AB158" i="1"/>
  <c r="Z158" i="1"/>
  <c r="X189" i="1"/>
  <c r="AC104" i="1"/>
  <c r="X104" i="1"/>
  <c r="X126" i="1"/>
  <c r="Y126" i="1"/>
  <c r="AA189" i="1"/>
  <c r="W142" i="1"/>
  <c r="AC142" i="1"/>
  <c r="X172" i="1"/>
  <c r="AC172" i="1"/>
  <c r="AA183" i="1"/>
  <c r="AC183" i="1"/>
  <c r="AB183" i="1"/>
  <c r="X7" i="1"/>
  <c r="X2" i="1"/>
  <c r="Z126" i="1"/>
  <c r="AC139" i="1"/>
  <c r="Y141" i="1"/>
  <c r="Y142" i="1"/>
  <c r="AC154" i="1"/>
  <c r="X154" i="1"/>
  <c r="X163" i="1"/>
  <c r="AB163" i="1"/>
  <c r="AA172" i="1"/>
  <c r="Z175" i="1"/>
  <c r="AC175" i="1"/>
  <c r="Y175" i="1"/>
  <c r="W175" i="1"/>
  <c r="W181" i="1"/>
  <c r="X183" i="1"/>
  <c r="X187" i="1"/>
  <c r="Y187" i="1"/>
  <c r="W187" i="1"/>
  <c r="Y167" i="1"/>
  <c r="AA167" i="1"/>
  <c r="X195" i="1"/>
  <c r="Y195" i="1"/>
  <c r="W195" i="1"/>
  <c r="X167" i="1"/>
  <c r="AA195" i="1"/>
  <c r="Z177" i="1"/>
  <c r="Y196" i="1"/>
  <c r="X42" i="1"/>
  <c r="AB42" i="1"/>
  <c r="AC42" i="1"/>
  <c r="AA42" i="1"/>
  <c r="AA82" i="1"/>
  <c r="Z82" i="1"/>
  <c r="AB82" i="1"/>
  <c r="Y63" i="1"/>
  <c r="X57" i="1"/>
  <c r="W55" i="1"/>
  <c r="X49" i="1"/>
  <c r="Z46" i="1"/>
  <c r="Y46" i="1"/>
  <c r="X46" i="1"/>
  <c r="AA40" i="1"/>
  <c r="Z8" i="1"/>
  <c r="AC8" i="1"/>
  <c r="X8" i="1"/>
  <c r="AC72" i="1"/>
  <c r="AB72" i="1"/>
  <c r="AA77" i="1"/>
  <c r="Z72" i="1"/>
  <c r="AA67" i="1"/>
  <c r="Z62" i="1"/>
  <c r="AC62" i="1"/>
  <c r="AB62" i="1"/>
  <c r="AB52" i="1"/>
  <c r="AA52" i="1"/>
  <c r="AC45" i="1"/>
  <c r="AA45" i="1"/>
  <c r="AB45" i="1"/>
  <c r="Y40" i="1"/>
  <c r="AA24" i="1"/>
  <c r="Z24" i="1"/>
  <c r="AA3" i="1"/>
  <c r="AB3" i="1"/>
  <c r="AC3" i="1"/>
  <c r="W3" i="1"/>
  <c r="X3" i="1"/>
  <c r="Z3" i="1"/>
  <c r="Z77" i="1"/>
  <c r="AB16" i="1"/>
  <c r="X72" i="1"/>
  <c r="AA57" i="1"/>
  <c r="AB57" i="1"/>
  <c r="Z57" i="1"/>
  <c r="AB81" i="1"/>
  <c r="Z76" i="1"/>
  <c r="AB76" i="1"/>
  <c r="AC76" i="1"/>
  <c r="AA76" i="1"/>
  <c r="W72" i="1"/>
  <c r="AB54" i="1"/>
  <c r="W32" i="1"/>
  <c r="AA32" i="1"/>
  <c r="AB32" i="1"/>
  <c r="Z32" i="1"/>
  <c r="W22" i="1"/>
  <c r="AB22" i="1"/>
  <c r="AC18" i="1"/>
  <c r="AC16" i="1"/>
  <c r="Z16" i="1"/>
  <c r="Y16" i="1"/>
  <c r="AA16" i="1"/>
  <c r="X16" i="1"/>
  <c r="W90" i="1"/>
  <c r="AC90" i="1"/>
  <c r="Z71" i="1"/>
  <c r="AB71" i="1"/>
  <c r="AA71" i="1"/>
  <c r="AC71" i="1"/>
  <c r="Z67" i="1"/>
  <c r="AB67" i="1"/>
  <c r="AC67" i="1"/>
  <c r="W61" i="1"/>
  <c r="Z61" i="1"/>
  <c r="AC58" i="1"/>
  <c r="AB58" i="1"/>
  <c r="AA58" i="1"/>
  <c r="AC50" i="1"/>
  <c r="AB50" i="1"/>
  <c r="Z50" i="1"/>
  <c r="AA50" i="1"/>
  <c r="Y42" i="1"/>
  <c r="Y23" i="1"/>
  <c r="AB23" i="1"/>
  <c r="AC23" i="1"/>
  <c r="W23" i="1"/>
  <c r="AA23" i="1"/>
  <c r="Y90" i="1"/>
  <c r="AC57" i="1"/>
  <c r="AB48" i="1"/>
  <c r="Y48" i="1"/>
  <c r="AA44" i="1"/>
  <c r="AB44" i="1"/>
  <c r="AC44" i="1"/>
  <c r="W42" i="1"/>
  <c r="Y35" i="1"/>
  <c r="Z35" i="1"/>
  <c r="W35" i="1"/>
  <c r="Y14" i="1"/>
  <c r="X14" i="1"/>
  <c r="AA96" i="1"/>
  <c r="Y96" i="1"/>
  <c r="AB96" i="1"/>
  <c r="Z96" i="1"/>
  <c r="X96" i="1"/>
  <c r="AC96" i="1"/>
  <c r="AC51" i="1"/>
  <c r="AC39" i="1"/>
  <c r="AC21" i="1"/>
  <c r="AA12" i="1"/>
  <c r="AA5" i="1"/>
  <c r="X86" i="1"/>
  <c r="W97" i="1"/>
  <c r="W99" i="1"/>
  <c r="Z103" i="1"/>
  <c r="AB104" i="1"/>
  <c r="Z108" i="1"/>
  <c r="AA116" i="1"/>
  <c r="X139" i="1"/>
  <c r="AB139" i="1"/>
  <c r="Z139" i="1"/>
  <c r="AA144" i="1"/>
  <c r="AC144" i="1"/>
  <c r="Y162" i="1"/>
  <c r="AA162" i="1"/>
  <c r="Y174" i="1"/>
  <c r="Z182" i="1"/>
  <c r="Y182" i="1"/>
  <c r="AB182" i="1"/>
  <c r="AA188" i="1"/>
  <c r="Y188" i="1"/>
  <c r="Z188" i="1"/>
  <c r="X188" i="1"/>
  <c r="AC188" i="1"/>
  <c r="X193" i="1"/>
  <c r="AA108" i="1"/>
  <c r="AC115" i="1"/>
  <c r="W115" i="1"/>
  <c r="W140" i="1"/>
  <c r="Y140" i="1"/>
  <c r="X140" i="1"/>
  <c r="AB140" i="1"/>
  <c r="Y156" i="1"/>
  <c r="AC156" i="1"/>
  <c r="X190" i="1"/>
  <c r="Z190" i="1"/>
  <c r="W190" i="1"/>
  <c r="W94" i="1"/>
  <c r="X114" i="1"/>
  <c r="X115" i="1"/>
  <c r="AC120" i="1"/>
  <c r="AB120" i="1"/>
  <c r="W120" i="1"/>
  <c r="Z137" i="1"/>
  <c r="W137" i="1"/>
  <c r="AA140" i="1"/>
  <c r="AA156" i="1"/>
  <c r="AA169" i="1"/>
  <c r="AC171" i="1"/>
  <c r="X171" i="1"/>
  <c r="Y190" i="1"/>
  <c r="AC197" i="1"/>
  <c r="X197" i="1"/>
  <c r="W197" i="1"/>
  <c r="Z197" i="1"/>
  <c r="AB200" i="1"/>
  <c r="X200" i="1"/>
  <c r="Z200" i="1"/>
  <c r="W25" i="1"/>
  <c r="AC25" i="1"/>
  <c r="AA4" i="1"/>
  <c r="X4" i="1"/>
  <c r="Z84" i="1"/>
  <c r="AA84" i="1"/>
  <c r="Y98" i="1"/>
  <c r="W98" i="1"/>
  <c r="Y105" i="1"/>
  <c r="Y115" i="1"/>
  <c r="Z119" i="1"/>
  <c r="X120" i="1"/>
  <c r="X130" i="1"/>
  <c r="W130" i="1"/>
  <c r="AB130" i="1"/>
  <c r="Y137" i="1"/>
  <c r="AB141" i="1"/>
  <c r="X141" i="1"/>
  <c r="W141" i="1"/>
  <c r="Z141" i="1"/>
  <c r="AB156" i="1"/>
  <c r="AB169" i="1"/>
  <c r="Y171" i="1"/>
  <c r="AA190" i="1"/>
  <c r="W192" i="1"/>
  <c r="Y192" i="1"/>
  <c r="AA192" i="1"/>
  <c r="Z192" i="1"/>
  <c r="AC192" i="1"/>
  <c r="Y197" i="1"/>
  <c r="W200" i="1"/>
  <c r="AA103" i="1"/>
  <c r="AC103" i="1"/>
  <c r="W104" i="1"/>
  <c r="Y104" i="1"/>
  <c r="AA111" i="1"/>
  <c r="X111" i="1"/>
  <c r="AA134" i="1"/>
  <c r="AC134" i="1"/>
  <c r="AC169" i="1"/>
  <c r="X178" i="1"/>
  <c r="AC178" i="1"/>
  <c r="X181" i="1"/>
  <c r="AB181" i="1"/>
  <c r="AA181" i="1"/>
  <c r="Z184" i="1"/>
  <c r="X184" i="1"/>
  <c r="AB190" i="1"/>
  <c r="X127" i="1"/>
  <c r="W127" i="1"/>
  <c r="AA127" i="1"/>
  <c r="AC145" i="1"/>
  <c r="X145" i="1"/>
  <c r="AB25" i="1"/>
  <c r="Z10" i="1"/>
  <c r="AB10" i="1"/>
  <c r="Z9" i="1"/>
  <c r="AC9" i="1"/>
  <c r="Y92" i="1"/>
  <c r="Y93" i="1"/>
  <c r="AA93" i="1"/>
  <c r="X103" i="1"/>
  <c r="Z104" i="1"/>
  <c r="W108" i="1"/>
  <c r="AA109" i="1"/>
  <c r="Z111" i="1"/>
  <c r="AB115" i="1"/>
  <c r="X117" i="1"/>
  <c r="AA120" i="1"/>
  <c r="Y127" i="1"/>
  <c r="X134" i="1"/>
  <c r="W145" i="1"/>
  <c r="AC146" i="1"/>
  <c r="X146" i="1"/>
  <c r="W146" i="1"/>
  <c r="Z174" i="1"/>
  <c r="AC174" i="1"/>
  <c r="W174" i="1"/>
  <c r="Y181" i="1"/>
  <c r="AB184" i="1"/>
  <c r="AA186" i="1"/>
  <c r="Z186" i="1"/>
  <c r="Y186" i="1"/>
  <c r="AC186" i="1"/>
  <c r="Y193" i="1"/>
  <c r="AB193" i="1"/>
  <c r="AA193" i="1"/>
  <c r="AA25" i="1"/>
  <c r="AB12" i="1"/>
  <c r="AC4" i="1"/>
  <c r="Z92" i="1"/>
  <c r="W93" i="1"/>
  <c r="AB101" i="1"/>
  <c r="Y103" i="1"/>
  <c r="AA104" i="1"/>
  <c r="Y108" i="1"/>
  <c r="AC111" i="1"/>
  <c r="Z113" i="1"/>
  <c r="AB113" i="1"/>
  <c r="Z117" i="1"/>
  <c r="AC127" i="1"/>
  <c r="AC152" i="1"/>
  <c r="X152" i="1"/>
  <c r="W166" i="1"/>
  <c r="X174" i="1"/>
  <c r="Z181" i="1"/>
  <c r="AC184" i="1"/>
  <c r="X186" i="1"/>
  <c r="W193" i="1"/>
  <c r="Z118" i="1"/>
  <c r="Z129" i="1"/>
  <c r="AA142" i="1"/>
  <c r="X155" i="1"/>
  <c r="X158" i="1"/>
  <c r="AA159" i="1"/>
  <c r="Z163" i="1"/>
  <c r="Y170" i="1"/>
  <c r="AC173" i="1"/>
  <c r="X175" i="1"/>
  <c r="X185" i="1"/>
  <c r="AC194" i="1"/>
  <c r="Y194" i="1"/>
  <c r="X196" i="1"/>
  <c r="AB196" i="1"/>
  <c r="AC198" i="1"/>
  <c r="Z198" i="1"/>
  <c r="X191" i="1"/>
  <c r="W191" i="1"/>
  <c r="Y199" i="1"/>
  <c r="AB199" i="1"/>
  <c r="W118" i="1"/>
  <c r="W163" i="1"/>
  <c r="W167" i="1"/>
  <c r="Z167" i="1"/>
  <c r="Z187" i="1"/>
  <c r="AB187" i="1"/>
  <c r="Y191" i="1"/>
  <c r="AB195" i="1"/>
  <c r="Z195" i="1"/>
  <c r="AC199" i="1"/>
  <c r="Z152" i="1"/>
  <c r="AB152" i="1"/>
  <c r="Y152" i="1"/>
  <c r="AA152" i="1"/>
  <c r="AC147" i="1"/>
  <c r="AA147" i="1"/>
  <c r="Y147" i="1"/>
  <c r="Z147" i="1"/>
  <c r="X147" i="1"/>
  <c r="AA145" i="1"/>
  <c r="AB145" i="1"/>
  <c r="Z145" i="1"/>
  <c r="Y145" i="1"/>
  <c r="AB147" i="1"/>
  <c r="W152" i="1"/>
  <c r="Y155" i="1"/>
  <c r="AB155" i="1"/>
  <c r="Z155" i="1"/>
  <c r="AA155" i="1"/>
  <c r="Z148" i="1"/>
  <c r="AB148" i="1"/>
  <c r="AA148" i="1"/>
  <c r="Y148" i="1"/>
  <c r="AC149" i="1"/>
  <c r="AA149" i="1"/>
  <c r="Z149" i="1"/>
  <c r="Y149" i="1"/>
  <c r="AA151" i="1"/>
  <c r="AB151" i="1"/>
  <c r="Y151" i="1"/>
  <c r="Z151" i="1"/>
  <c r="W148" i="1"/>
  <c r="W149" i="1"/>
  <c r="W150" i="1"/>
  <c r="AB150" i="1"/>
  <c r="AA150" i="1"/>
  <c r="Z150" i="1"/>
  <c r="AB153" i="1"/>
  <c r="AA153" i="1"/>
  <c r="Z153" i="1"/>
  <c r="Y153" i="1"/>
  <c r="W151" i="1"/>
  <c r="AB146" i="1"/>
  <c r="AA146" i="1"/>
  <c r="Z146" i="1"/>
  <c r="Y146" i="1"/>
  <c r="X148" i="1"/>
  <c r="X149" i="1"/>
  <c r="X150" i="1"/>
  <c r="X151" i="1"/>
  <c r="W153" i="1"/>
  <c r="AB149" i="1"/>
  <c r="AC151" i="1"/>
  <c r="Z154" i="1"/>
  <c r="AB154" i="1"/>
  <c r="AA154" i="1"/>
  <c r="Y154" i="1"/>
  <c r="W147" i="1"/>
  <c r="AC150" i="1"/>
  <c r="AC153" i="1"/>
  <c r="W154" i="1"/>
  <c r="AA166" i="1"/>
  <c r="Z166" i="1"/>
  <c r="X166" i="1"/>
  <c r="Z160" i="1"/>
  <c r="Y160" i="1"/>
  <c r="W160" i="1"/>
  <c r="AB161" i="1"/>
  <c r="Y161" i="1"/>
  <c r="W161" i="1"/>
  <c r="W164" i="1"/>
  <c r="Z164" i="1"/>
  <c r="X164" i="1"/>
  <c r="AC168" i="1"/>
  <c r="AA168" i="1"/>
  <c r="X160" i="1"/>
  <c r="X161" i="1"/>
  <c r="Y164" i="1"/>
  <c r="Y166" i="1"/>
  <c r="W168" i="1"/>
  <c r="AA160" i="1"/>
  <c r="Z161" i="1"/>
  <c r="AA164" i="1"/>
  <c r="W165" i="1"/>
  <c r="Z165" i="1"/>
  <c r="X165" i="1"/>
  <c r="AB166" i="1"/>
  <c r="X168" i="1"/>
  <c r="AB160" i="1"/>
  <c r="AA161" i="1"/>
  <c r="AB164" i="1"/>
  <c r="Y168" i="1"/>
  <c r="AC160" i="1"/>
  <c r="AC161" i="1"/>
  <c r="AC164" i="1"/>
  <c r="Z168" i="1"/>
  <c r="AB168" i="1"/>
  <c r="X156" i="1"/>
  <c r="Z156" i="1"/>
  <c r="W156" i="1"/>
  <c r="Y159" i="1"/>
  <c r="Z159" i="1"/>
  <c r="X162" i="1"/>
  <c r="Z162" i="1"/>
  <c r="W162" i="1"/>
  <c r="AC165" i="1"/>
  <c r="X169" i="1"/>
  <c r="Z169" i="1"/>
  <c r="W169" i="1"/>
  <c r="AA171" i="1"/>
  <c r="W171" i="1"/>
  <c r="AB171" i="1"/>
  <c r="X173" i="1"/>
  <c r="W173" i="1"/>
  <c r="AB173" i="1"/>
  <c r="Z173" i="1"/>
  <c r="AA179" i="1"/>
  <c r="W179" i="1"/>
  <c r="W180" i="1"/>
  <c r="X180" i="1"/>
  <c r="Z176" i="1"/>
  <c r="W176" i="1"/>
  <c r="AB178" i="1"/>
  <c r="W178" i="1"/>
  <c r="Y179" i="1"/>
  <c r="Z180" i="1"/>
  <c r="Y172" i="1"/>
  <c r="W172" i="1"/>
  <c r="Y176" i="1"/>
  <c r="Y178" i="1"/>
  <c r="AB179" i="1"/>
  <c r="AB180" i="1"/>
  <c r="Y183" i="1"/>
  <c r="W183" i="1"/>
  <c r="Z178" i="1"/>
  <c r="AC179" i="1"/>
  <c r="AC180" i="1"/>
  <c r="AC170" i="1"/>
  <c r="W170" i="1"/>
  <c r="Z172" i="1"/>
  <c r="AB176" i="1"/>
  <c r="AA178" i="1"/>
  <c r="X182" i="1"/>
  <c r="W182" i="1"/>
  <c r="Z183" i="1"/>
  <c r="Y184" i="1"/>
  <c r="W184" i="1"/>
  <c r="AB198" i="1"/>
  <c r="W199" i="1"/>
  <c r="AA200" i="1"/>
  <c r="W186" i="1"/>
  <c r="X199" i="1"/>
  <c r="AC200" i="1"/>
  <c r="Z199" i="1"/>
  <c r="W198" i="1"/>
  <c r="AA199" i="1"/>
  <c r="W87" i="1"/>
  <c r="AB87" i="1"/>
  <c r="AA88" i="1"/>
  <c r="W84" i="1"/>
  <c r="Y86" i="1"/>
  <c r="X87" i="1"/>
  <c r="Y89" i="1"/>
  <c r="X91" i="1"/>
  <c r="X98" i="1"/>
  <c r="X99" i="1"/>
  <c r="Z95" i="1"/>
  <c r="AB95" i="1"/>
  <c r="Y95" i="1"/>
  <c r="X84" i="1"/>
  <c r="Y87" i="1"/>
  <c r="AC92" i="1"/>
  <c r="AA92" i="1"/>
  <c r="AA94" i="1"/>
  <c r="AB94" i="1"/>
  <c r="Y94" i="1"/>
  <c r="X95" i="1"/>
  <c r="AB97" i="1"/>
  <c r="AC97" i="1"/>
  <c r="Z97" i="1"/>
  <c r="Z87" i="1"/>
  <c r="X90" i="1"/>
  <c r="AB90" i="1"/>
  <c r="AA95" i="1"/>
  <c r="Z88" i="1"/>
  <c r="AB88" i="1"/>
  <c r="AC95" i="1"/>
  <c r="AB84" i="1"/>
  <c r="W88" i="1"/>
  <c r="AC84" i="1"/>
  <c r="AC86" i="1"/>
  <c r="AA86" i="1"/>
  <c r="X88" i="1"/>
  <c r="AA89" i="1"/>
  <c r="AB89" i="1"/>
  <c r="Z90" i="1"/>
  <c r="AC87" i="1"/>
  <c r="W86" i="1"/>
  <c r="Y88" i="1"/>
  <c r="W89" i="1"/>
  <c r="AA90" i="1"/>
  <c r="AA91" i="1"/>
  <c r="AB91" i="1"/>
  <c r="AA98" i="1"/>
  <c r="AB98" i="1"/>
  <c r="AA99" i="1"/>
  <c r="AC99" i="1"/>
  <c r="Z99" i="1"/>
  <c r="W101" i="1"/>
  <c r="X101" i="1"/>
  <c r="AC101" i="1"/>
  <c r="AA101" i="1"/>
  <c r="Z102" i="1"/>
  <c r="W102" i="1"/>
  <c r="AC102" i="1"/>
  <c r="X102" i="1"/>
  <c r="AB102" i="1"/>
  <c r="AB100" i="1"/>
  <c r="W100" i="1"/>
  <c r="AC100" i="1"/>
  <c r="AA100" i="1"/>
  <c r="Y102" i="1"/>
  <c r="X100" i="1"/>
  <c r="Z101" i="1"/>
  <c r="AA102" i="1"/>
  <c r="Z100" i="1"/>
  <c r="AA110" i="1"/>
  <c r="AC110" i="1"/>
  <c r="Y110" i="1"/>
  <c r="X110" i="1"/>
  <c r="W110" i="1"/>
  <c r="AB110" i="1"/>
  <c r="Z105" i="1"/>
  <c r="AA107" i="1"/>
  <c r="Z110" i="1"/>
  <c r="AB106" i="1"/>
  <c r="AC106" i="1"/>
  <c r="X106" i="1"/>
  <c r="AB105" i="1"/>
  <c r="AC105" i="1"/>
  <c r="X105" i="1"/>
  <c r="Z107" i="1"/>
  <c r="AC107" i="1"/>
  <c r="X107" i="1"/>
  <c r="W105" i="1"/>
  <c r="W107" i="1"/>
  <c r="W112" i="1"/>
  <c r="Z112" i="1"/>
  <c r="AB112" i="1"/>
  <c r="AA112" i="1"/>
  <c r="X108" i="1"/>
  <c r="Y109" i="1"/>
  <c r="X112" i="1"/>
  <c r="Y112" i="1"/>
  <c r="W114" i="1"/>
  <c r="Y114" i="1"/>
  <c r="AA114" i="1"/>
  <c r="AB114" i="1"/>
  <c r="Z114" i="1"/>
  <c r="AC112" i="1"/>
  <c r="AB108" i="1"/>
  <c r="AC109" i="1"/>
  <c r="AB109" i="1"/>
  <c r="W109" i="1"/>
  <c r="W111" i="1"/>
  <c r="AB111" i="1"/>
  <c r="AC116" i="1"/>
  <c r="W116" i="1"/>
  <c r="Z116" i="1"/>
  <c r="Y116" i="1"/>
  <c r="AA117" i="1"/>
  <c r="Y117" i="1"/>
  <c r="AC117" i="1"/>
  <c r="AB117" i="1"/>
  <c r="AB119" i="1"/>
  <c r="AB121" i="1"/>
  <c r="W121" i="1"/>
  <c r="AC121" i="1"/>
  <c r="X121" i="1"/>
  <c r="AA119" i="1"/>
  <c r="W119" i="1"/>
  <c r="X119" i="1"/>
  <c r="Y121" i="1"/>
  <c r="Y119" i="1"/>
  <c r="Z121" i="1"/>
  <c r="Y122" i="1"/>
  <c r="AB122" i="1"/>
  <c r="AA122" i="1"/>
  <c r="Z122" i="1"/>
  <c r="W122" i="1"/>
  <c r="X123" i="1"/>
  <c r="AB123" i="1"/>
  <c r="AA123" i="1"/>
  <c r="Z123" i="1"/>
  <c r="AB125" i="1"/>
  <c r="AA125" i="1"/>
  <c r="Y125" i="1"/>
  <c r="X125" i="1"/>
  <c r="W125" i="1"/>
  <c r="AC125" i="1"/>
  <c r="X122" i="1"/>
  <c r="W123" i="1"/>
  <c r="Z125" i="1"/>
  <c r="AC122" i="1"/>
  <c r="Y123" i="1"/>
  <c r="AC123" i="1"/>
  <c r="Z124" i="1"/>
  <c r="AB124" i="1"/>
  <c r="Z128" i="1"/>
  <c r="AB128" i="1"/>
  <c r="X128" i="1"/>
  <c r="Y124" i="1"/>
  <c r="Y128" i="1"/>
  <c r="AA128" i="1"/>
  <c r="AC128" i="1"/>
  <c r="W131" i="1"/>
  <c r="AB131" i="1"/>
  <c r="AA131" i="1"/>
  <c r="AC131" i="1"/>
  <c r="AB129" i="1"/>
  <c r="AA129" i="1"/>
  <c r="Y129" i="1"/>
  <c r="W132" i="1"/>
  <c r="Z132" i="1"/>
  <c r="X136" i="1"/>
  <c r="AC136" i="1"/>
  <c r="W136" i="1"/>
  <c r="AB136" i="1"/>
  <c r="AA136" i="1"/>
  <c r="Z136" i="1"/>
  <c r="Z133" i="1"/>
  <c r="Y133" i="1"/>
  <c r="AA133" i="1"/>
  <c r="Y135" i="1"/>
  <c r="Z135" i="1"/>
  <c r="AA135" i="1"/>
  <c r="AA126" i="1"/>
  <c r="AB126" i="1"/>
  <c r="Z127" i="1"/>
  <c r="AB127" i="1"/>
  <c r="AC130" i="1"/>
  <c r="AA130" i="1"/>
  <c r="Z130" i="1"/>
  <c r="Y132" i="1"/>
  <c r="W133" i="1"/>
  <c r="W135" i="1"/>
  <c r="AA132" i="1"/>
  <c r="X133" i="1"/>
  <c r="X135" i="1"/>
  <c r="AB132" i="1"/>
  <c r="AB133" i="1"/>
  <c r="AB135" i="1"/>
  <c r="AC132" i="1"/>
  <c r="AC133" i="1"/>
  <c r="AC135" i="1"/>
  <c r="Z134" i="1"/>
  <c r="AB134" i="1"/>
  <c r="Y134" i="1"/>
  <c r="AC137" i="1"/>
  <c r="AB137" i="1"/>
  <c r="AA137" i="1"/>
  <c r="X137" i="1"/>
  <c r="Y139" i="1"/>
  <c r="AA139" i="1"/>
  <c r="X143" i="1"/>
  <c r="Y143" i="1"/>
  <c r="AC143" i="1"/>
  <c r="AB143" i="1"/>
  <c r="AA143" i="1"/>
  <c r="Z143" i="1"/>
  <c r="W143" i="1"/>
  <c r="Z140" i="1"/>
  <c r="AA141" i="1"/>
  <c r="Z142" i="1"/>
  <c r="X142" i="1"/>
  <c r="AC140" i="1"/>
  <c r="Z144" i="1"/>
  <c r="X144" i="1"/>
  <c r="AC79" i="1"/>
  <c r="Y79" i="1"/>
  <c r="W79" i="1"/>
  <c r="AB78" i="1"/>
  <c r="X66" i="1"/>
  <c r="Y66" i="1"/>
  <c r="AB66" i="1"/>
  <c r="Y64" i="1"/>
  <c r="Z64" i="1"/>
  <c r="AC64" i="1"/>
  <c r="AA60" i="1"/>
  <c r="AA56" i="1"/>
  <c r="AB56" i="1"/>
  <c r="AC56" i="1"/>
  <c r="W56" i="1"/>
  <c r="W74" i="1"/>
  <c r="X74" i="1"/>
  <c r="AA74" i="1"/>
  <c r="AB73" i="1"/>
  <c r="AA68" i="1"/>
  <c r="AB68" i="1"/>
  <c r="W68" i="1"/>
  <c r="Y65" i="1"/>
  <c r="Z65" i="1"/>
  <c r="AC65" i="1"/>
  <c r="AA61" i="1"/>
  <c r="AB63" i="1"/>
  <c r="AC63" i="1"/>
  <c r="X63" i="1"/>
  <c r="X60" i="1"/>
  <c r="Y60" i="1"/>
  <c r="AB60" i="1"/>
  <c r="Y78" i="1"/>
  <c r="Z78" i="1"/>
  <c r="AC78" i="1"/>
  <c r="AA79" i="1"/>
  <c r="AA66" i="1"/>
  <c r="AA64" i="1"/>
  <c r="Z56" i="1"/>
  <c r="AB79" i="1"/>
  <c r="Y73" i="1"/>
  <c r="Z73" i="1"/>
  <c r="AC73" i="1"/>
  <c r="Z66" i="1"/>
  <c r="X64" i="1"/>
  <c r="AB61" i="1"/>
  <c r="AC61" i="1"/>
  <c r="X61" i="1"/>
  <c r="W81" i="1"/>
  <c r="AA81" i="1"/>
  <c r="AC80" i="1"/>
  <c r="Y80" i="1"/>
  <c r="Z79" i="1"/>
  <c r="AC83" i="1"/>
  <c r="AC82" i="1"/>
  <c r="AC81" i="1"/>
  <c r="X79" i="1"/>
  <c r="AB77" i="1"/>
  <c r="AC77" i="1"/>
  <c r="X77" i="1"/>
  <c r="AB74" i="1"/>
  <c r="Z68" i="1"/>
  <c r="W66" i="1"/>
  <c r="AA65" i="1"/>
  <c r="W64" i="1"/>
  <c r="AA63" i="1"/>
  <c r="AC60" i="1"/>
  <c r="X56" i="1"/>
  <c r="Y53" i="1"/>
  <c r="Z53" i="1"/>
  <c r="AA53" i="1"/>
  <c r="AC53" i="1"/>
  <c r="X53" i="1"/>
  <c r="AA49" i="1"/>
  <c r="Z48" i="1"/>
  <c r="AA47" i="1"/>
  <c r="AA46" i="1"/>
  <c r="W43" i="1"/>
  <c r="AB40" i="1"/>
  <c r="Y75" i="1"/>
  <c r="Y72" i="1"/>
  <c r="Y70" i="1"/>
  <c r="Y69" i="1"/>
  <c r="Y58" i="1"/>
  <c r="X55" i="1"/>
  <c r="AA54" i="1"/>
  <c r="X52" i="1"/>
  <c r="Y50" i="1"/>
  <c r="W49" i="1"/>
  <c r="W48" i="1"/>
  <c r="W47" i="1"/>
  <c r="W46" i="1"/>
  <c r="AC43" i="1"/>
  <c r="Z42" i="1"/>
  <c r="X40" i="1"/>
  <c r="AA43" i="1"/>
  <c r="X37" i="1"/>
  <c r="AB37" i="1"/>
  <c r="AC37" i="1"/>
  <c r="Y37" i="1"/>
  <c r="Z37" i="1"/>
  <c r="AA37" i="1"/>
  <c r="Y54" i="1"/>
  <c r="Z43" i="1"/>
  <c r="Z40" i="1"/>
  <c r="AC40" i="1"/>
  <c r="X54" i="1"/>
  <c r="AC47" i="1"/>
  <c r="AC46" i="1"/>
  <c r="Y43" i="1"/>
  <c r="AC55" i="1"/>
  <c r="AC52" i="1"/>
  <c r="AC49" i="1"/>
  <c r="AC48" i="1"/>
  <c r="AB49" i="1"/>
  <c r="AA48" i="1"/>
  <c r="AB47" i="1"/>
  <c r="AB46" i="1"/>
  <c r="X43" i="1"/>
  <c r="AB41" i="1"/>
  <c r="AC41" i="1"/>
  <c r="AA38" i="1"/>
  <c r="AC38" i="1"/>
  <c r="X36" i="1"/>
  <c r="Z36" i="1"/>
  <c r="AB36" i="1"/>
  <c r="AC36" i="1"/>
  <c r="Z34" i="1"/>
  <c r="W34" i="1"/>
  <c r="Y34" i="1"/>
  <c r="AB34" i="1"/>
  <c r="AC31" i="1"/>
  <c r="Y31" i="1"/>
  <c r="AB30" i="1"/>
  <c r="X30" i="1"/>
  <c r="W30" i="1"/>
  <c r="Y30" i="1"/>
  <c r="AA30" i="1"/>
  <c r="AC30" i="1"/>
  <c r="X38" i="1"/>
  <c r="Y36" i="1"/>
  <c r="AC34" i="1"/>
  <c r="Z33" i="1"/>
  <c r="X33" i="1"/>
  <c r="W33" i="1"/>
  <c r="Y33" i="1"/>
  <c r="AB33" i="1"/>
  <c r="AC33" i="1"/>
  <c r="W38" i="1"/>
  <c r="W36" i="1"/>
  <c r="AA34" i="1"/>
  <c r="Z31" i="1"/>
  <c r="X31" i="1"/>
  <c r="AA31" i="1"/>
  <c r="AB31" i="1"/>
  <c r="AA29" i="1"/>
  <c r="AC26" i="1"/>
  <c r="AB26" i="1"/>
  <c r="Y26" i="1"/>
  <c r="X24" i="1"/>
  <c r="AB24" i="1"/>
  <c r="W24" i="1"/>
  <c r="AC24" i="1"/>
  <c r="Y24" i="1"/>
  <c r="Z20" i="1"/>
  <c r="Y20" i="1"/>
  <c r="W20" i="1"/>
  <c r="X20" i="1"/>
  <c r="AC20" i="1"/>
  <c r="AA20" i="1"/>
  <c r="AB20" i="1"/>
  <c r="AC35" i="1"/>
  <c r="X35" i="1"/>
  <c r="Z29" i="1"/>
  <c r="Z28" i="1"/>
  <c r="X28" i="1"/>
  <c r="X32" i="1"/>
  <c r="Y32" i="1"/>
  <c r="X29" i="1"/>
  <c r="Y29" i="1"/>
  <c r="AA26" i="1"/>
  <c r="Z26" i="1"/>
  <c r="X22" i="1"/>
  <c r="Z22" i="1"/>
  <c r="Y22" i="1"/>
  <c r="AA17" i="1"/>
  <c r="AB18" i="1"/>
  <c r="Y18" i="1"/>
  <c r="W18" i="1"/>
  <c r="AA18" i="1"/>
  <c r="Z18" i="1"/>
  <c r="AC22" i="1"/>
  <c r="AB17" i="1"/>
  <c r="Y17" i="1"/>
  <c r="W17" i="1"/>
  <c r="X17" i="1"/>
  <c r="AC17" i="1"/>
  <c r="Y19" i="1"/>
  <c r="Z19" i="1"/>
  <c r="W19" i="1"/>
  <c r="X19" i="1"/>
  <c r="Z15" i="1"/>
  <c r="W15" i="1"/>
  <c r="X15" i="1"/>
  <c r="Y15" i="1"/>
  <c r="AA15" i="1"/>
  <c r="AB14" i="1"/>
  <c r="Z14" i="1"/>
  <c r="AA14" i="1"/>
  <c r="AC14" i="1"/>
  <c r="AB11" i="1"/>
  <c r="Y11" i="1"/>
  <c r="AA11" i="1"/>
  <c r="AC11" i="1"/>
  <c r="W11" i="1"/>
  <c r="Z11" i="1"/>
  <c r="W12" i="1"/>
  <c r="Z12" i="1"/>
  <c r="AA8" i="1"/>
  <c r="Y8" i="1"/>
  <c r="AC10" i="1"/>
  <c r="W8" i="1"/>
  <c r="AB8" i="1"/>
  <c r="Z5" i="1"/>
  <c r="W5" i="1"/>
  <c r="AB5" i="1"/>
  <c r="AC5" i="1"/>
  <c r="AA6" i="1"/>
  <c r="Z6" i="1"/>
  <c r="Y6" i="1"/>
  <c r="W6" i="1"/>
  <c r="AB6" i="1"/>
  <c r="AC6" i="1"/>
  <c r="Z4" i="1"/>
  <c r="T104" i="1" l="1"/>
  <c r="T3" i="1"/>
  <c r="T21" i="1"/>
  <c r="T13" i="1"/>
  <c r="T167" i="1"/>
  <c r="T27" i="1"/>
  <c r="T189" i="1"/>
  <c r="T158" i="1"/>
  <c r="T181" i="1"/>
  <c r="T45" i="1"/>
  <c r="T157" i="1"/>
  <c r="T177" i="1"/>
  <c r="T72" i="1"/>
  <c r="T4" i="1"/>
  <c r="T9" i="1"/>
  <c r="T58" i="1"/>
  <c r="T96" i="1"/>
  <c r="T175" i="1"/>
  <c r="T185" i="1"/>
  <c r="T69" i="1"/>
  <c r="T141" i="1"/>
  <c r="T10" i="1"/>
  <c r="T83" i="1"/>
  <c r="T118" i="1"/>
  <c r="T113" i="1"/>
  <c r="T194" i="1"/>
  <c r="T2" i="1"/>
  <c r="T39" i="1"/>
  <c r="AF3" i="1"/>
  <c r="AF2" i="1"/>
  <c r="AL2" i="1"/>
  <c r="AL3" i="1"/>
  <c r="AG3" i="1"/>
  <c r="AG2" i="1"/>
  <c r="AH2" i="1"/>
  <c r="AH3" i="1"/>
  <c r="AJ2" i="1"/>
  <c r="AJ3" i="1"/>
  <c r="AI2" i="1"/>
  <c r="AI3" i="1"/>
  <c r="AK2" i="1"/>
  <c r="AK3" i="1"/>
  <c r="T82" i="1"/>
  <c r="T70" i="1"/>
  <c r="T75" i="1"/>
  <c r="T42" i="1"/>
  <c r="T138" i="1"/>
  <c r="T103" i="1"/>
  <c r="T115" i="1"/>
  <c r="T188" i="1"/>
  <c r="T174" i="1"/>
  <c r="T44" i="1"/>
  <c r="T23" i="1"/>
  <c r="T16" i="1"/>
  <c r="T187" i="1"/>
  <c r="T51" i="1"/>
  <c r="T186" i="1"/>
  <c r="T85" i="1"/>
  <c r="T50" i="1"/>
  <c r="T196" i="1"/>
  <c r="T163" i="1"/>
  <c r="T120" i="1"/>
  <c r="T7" i="1"/>
  <c r="T97" i="1"/>
  <c r="T73" i="1"/>
  <c r="T193" i="1"/>
  <c r="T142" i="1"/>
  <c r="T154" i="1"/>
  <c r="T14" i="1"/>
  <c r="T80" i="1"/>
  <c r="T92" i="1"/>
  <c r="T67" i="1"/>
  <c r="T171" i="1"/>
  <c r="T140" i="1"/>
  <c r="T198" i="1"/>
  <c r="T59" i="1"/>
  <c r="T195" i="1"/>
  <c r="T129" i="1"/>
  <c r="T108" i="1"/>
  <c r="T32" i="1"/>
  <c r="T41" i="1"/>
  <c r="T78" i="1"/>
  <c r="T144" i="1"/>
  <c r="T29" i="1"/>
  <c r="T134" i="1"/>
  <c r="T99" i="1"/>
  <c r="T91" i="1"/>
  <c r="T93" i="1"/>
  <c r="T62" i="1"/>
  <c r="T71" i="1"/>
  <c r="T76" i="1"/>
  <c r="T17" i="1"/>
  <c r="T35" i="1"/>
  <c r="T38" i="1"/>
  <c r="T65" i="1"/>
  <c r="T139" i="1"/>
  <c r="T137" i="1"/>
  <c r="T130" i="1"/>
  <c r="T109" i="1"/>
  <c r="T107" i="1"/>
  <c r="T106" i="1"/>
  <c r="T86" i="1"/>
  <c r="T94" i="1"/>
  <c r="T98" i="1"/>
  <c r="T28" i="1"/>
  <c r="T61" i="1"/>
  <c r="T63" i="1"/>
  <c r="T127" i="1"/>
  <c r="T124" i="1"/>
  <c r="T112" i="1"/>
  <c r="T36" i="1"/>
  <c r="T37" i="1"/>
  <c r="T60" i="1"/>
  <c r="T128" i="1"/>
  <c r="T166" i="1"/>
  <c r="T52" i="1"/>
  <c r="T55" i="1"/>
  <c r="T126" i="1"/>
  <c r="T117" i="1"/>
  <c r="T89" i="1"/>
  <c r="T90" i="1"/>
  <c r="T200" i="1"/>
  <c r="T147" i="1"/>
  <c r="T146" i="1"/>
  <c r="T155" i="1"/>
  <c r="T152" i="1"/>
  <c r="T8" i="1"/>
  <c r="T145" i="1"/>
  <c r="T26" i="1"/>
  <c r="T22" i="1"/>
  <c r="T31" i="1"/>
  <c r="T40" i="1"/>
  <c r="T53" i="1"/>
  <c r="T64" i="1"/>
  <c r="T77" i="1"/>
  <c r="T95" i="1"/>
  <c r="T170" i="1"/>
  <c r="T159" i="1"/>
  <c r="T148" i="1"/>
  <c r="T25" i="1"/>
  <c r="T57" i="1"/>
  <c r="T191" i="1"/>
  <c r="T192" i="1"/>
  <c r="T197" i="1"/>
  <c r="T190" i="1"/>
  <c r="T172" i="1"/>
  <c r="T173" i="1"/>
  <c r="T165" i="1"/>
  <c r="T149" i="1"/>
  <c r="T161" i="1"/>
  <c r="T150" i="1"/>
  <c r="T184" i="1"/>
  <c r="T162" i="1"/>
  <c r="T151" i="1"/>
  <c r="T178" i="1"/>
  <c r="T199" i="1"/>
  <c r="T176" i="1"/>
  <c r="T153" i="1"/>
  <c r="T183" i="1"/>
  <c r="T180" i="1"/>
  <c r="T169" i="1"/>
  <c r="T156" i="1"/>
  <c r="T164" i="1"/>
  <c r="T182" i="1"/>
  <c r="T179" i="1"/>
  <c r="T168" i="1"/>
  <c r="T132" i="1"/>
  <c r="T131" i="1"/>
  <c r="T123" i="1"/>
  <c r="T121" i="1"/>
  <c r="T101" i="1"/>
  <c r="T133" i="1"/>
  <c r="T136" i="1"/>
  <c r="T122" i="1"/>
  <c r="T100" i="1"/>
  <c r="T143" i="1"/>
  <c r="T116" i="1"/>
  <c r="T105" i="1"/>
  <c r="T87" i="1"/>
  <c r="T111" i="1"/>
  <c r="T110" i="1"/>
  <c r="T102" i="1"/>
  <c r="T84" i="1"/>
  <c r="T88" i="1"/>
  <c r="T135" i="1"/>
  <c r="T125" i="1"/>
  <c r="T119" i="1"/>
  <c r="T114" i="1"/>
  <c r="T47" i="1"/>
  <c r="T66" i="1"/>
  <c r="T11" i="1"/>
  <c r="T74" i="1"/>
  <c r="T15" i="1"/>
  <c r="T24" i="1"/>
  <c r="T5" i="1"/>
  <c r="T33" i="1"/>
  <c r="T30" i="1"/>
  <c r="T79" i="1"/>
  <c r="T6" i="1"/>
  <c r="T12" i="1"/>
  <c r="T54" i="1"/>
  <c r="T48" i="1"/>
  <c r="T68" i="1"/>
  <c r="T19" i="1"/>
  <c r="T20" i="1"/>
  <c r="T49" i="1"/>
  <c r="T81" i="1"/>
  <c r="T56" i="1"/>
  <c r="T18" i="1"/>
  <c r="T34" i="1"/>
  <c r="T46" i="1"/>
  <c r="T43" i="1"/>
</calcChain>
</file>

<file path=xl/sharedStrings.xml><?xml version="1.0" encoding="utf-8"?>
<sst xmlns="http://schemas.openxmlformats.org/spreadsheetml/2006/main" count="1905" uniqueCount="353">
  <si>
    <t>Date arrivée</t>
  </si>
  <si>
    <t>Date clôture fiche</t>
  </si>
  <si>
    <t>Pôle en charge</t>
  </si>
  <si>
    <t>Catégorie</t>
  </si>
  <si>
    <t>Sous-catégorie</t>
  </si>
  <si>
    <t>Domaine</t>
  </si>
  <si>
    <t>Sous-domaine</t>
  </si>
  <si>
    <t>Réclamation : position du médiateur</t>
  </si>
  <si>
    <t>Aspect contextuel</t>
  </si>
  <si>
    <t>Impact de l'appui du médiateur</t>
  </si>
  <si>
    <t>Nature de la saisine</t>
  </si>
  <si>
    <t>Numéro</t>
  </si>
  <si>
    <t>Analyse</t>
  </si>
  <si>
    <t>LIL</t>
  </si>
  <si>
    <t>U - Enseignement premier degré public</t>
  </si>
  <si>
    <t>Élémentaire</t>
  </si>
  <si>
    <t>U - Ens. et vie dans l'établissement</t>
  </si>
  <si>
    <t>Autres conflits relat. - Parents/étab.</t>
  </si>
  <si>
    <t>AUC</t>
  </si>
  <si>
    <t>Demande d'information ou de conseil</t>
  </si>
  <si>
    <t>VER</t>
  </si>
  <si>
    <t>U - Enseignement supérieur public</t>
  </si>
  <si>
    <t>Université</t>
  </si>
  <si>
    <t>U - Questions financières et sociales</t>
  </si>
  <si>
    <t>Bourse du supérieur</t>
  </si>
  <si>
    <t xml:space="preserve">Non appuyée par le médiateur mais avec explications              </t>
  </si>
  <si>
    <t>Réclamation</t>
  </si>
  <si>
    <t>NCY</t>
  </si>
  <si>
    <t>U - Enseignement second degré public</t>
  </si>
  <si>
    <t>Collège : Cinquième</t>
  </si>
  <si>
    <t>Absence de professeurs</t>
  </si>
  <si>
    <t>PAR</t>
  </si>
  <si>
    <t>U - Enseignements privés</t>
  </si>
  <si>
    <t>Enseignement supérieur</t>
  </si>
  <si>
    <t>Evaluation, notation</t>
  </si>
  <si>
    <t>CND</t>
  </si>
  <si>
    <t>U - Inscription, orientation</t>
  </si>
  <si>
    <t>Accès à enseignement à distance</t>
  </si>
  <si>
    <t xml:space="preserve">Traitée par le médiateur avec sollicitation de l'administration  </t>
  </si>
  <si>
    <t xml:space="preserve">Appui ayant débouché sur un succès, partiel ou total             </t>
  </si>
  <si>
    <t>NAT</t>
  </si>
  <si>
    <t>U - Exa. et conc. d'entrée dans écoles</t>
  </si>
  <si>
    <t>Contestation du résultat</t>
  </si>
  <si>
    <t>HAN</t>
  </si>
  <si>
    <t>Lycée général et techno. : Terminale</t>
  </si>
  <si>
    <t>Délivrance diplôme</t>
  </si>
  <si>
    <t>AXM</t>
  </si>
  <si>
    <t>Lycée prof. : Seconde/CAP1</t>
  </si>
  <si>
    <t>P - Enseignant du privé sous contrat</t>
  </si>
  <si>
    <t>P - Retraite</t>
  </si>
  <si>
    <t>Enseignement à distance</t>
  </si>
  <si>
    <t>INT</t>
  </si>
  <si>
    <t>NAN</t>
  </si>
  <si>
    <t>CFA</t>
  </si>
  <si>
    <t>Inscription</t>
  </si>
  <si>
    <t>Collège : Troisième</t>
  </si>
  <si>
    <t>Bourse scolaire</t>
  </si>
  <si>
    <t xml:space="preserve">Affaire réglée sans l'intervention du médiateur                  </t>
  </si>
  <si>
    <t>REI</t>
  </si>
  <si>
    <t>Stage en entreprise</t>
  </si>
  <si>
    <t>Hors champ compétence éduc et sup.</t>
  </si>
  <si>
    <t>HAR</t>
  </si>
  <si>
    <t xml:space="preserve">La requérante suite à une situation de harcèlement nous saisit pour IEF mais sa demande n'est âs claire. Nous lui demandons des précisions. </t>
  </si>
  <si>
    <t>NOR</t>
  </si>
  <si>
    <t>Demande de copie ou de PV d'oral</t>
  </si>
  <si>
    <t>BOR</t>
  </si>
  <si>
    <t>Collège : Sixième</t>
  </si>
  <si>
    <t>Affectation collège</t>
  </si>
  <si>
    <t>mère qui demande l'inscription de sa fille dans un établissement plus proche de son domicile. Conseils donnés.</t>
  </si>
  <si>
    <t>Contest. liées au fonct. de l'étab.</t>
  </si>
  <si>
    <t>Affectation LEGT</t>
  </si>
  <si>
    <t>Lycée général et techno. : Première</t>
  </si>
  <si>
    <t xml:space="preserve">Sans démarche préalable                                          </t>
  </si>
  <si>
    <t>STR</t>
  </si>
  <si>
    <t>Collège : Quatrième</t>
  </si>
  <si>
    <t>REL</t>
  </si>
  <si>
    <t>P - Enseig. titulaire 2nd degré public</t>
  </si>
  <si>
    <t>Certifié</t>
  </si>
  <si>
    <t>GRE</t>
  </si>
  <si>
    <t>Harcèlement</t>
  </si>
  <si>
    <t>REN</t>
  </si>
  <si>
    <t xml:space="preserve">Sollicitation suivie d'effet                                     </t>
  </si>
  <si>
    <t>NIC</t>
  </si>
  <si>
    <t>Lycée prof. : Terminale/Mention comp.</t>
  </si>
  <si>
    <t>Suspicion de fraude</t>
  </si>
  <si>
    <t>Ne comprend pas pourquoi il n''a pas eu ses résultats au DSCG,alors que ses camarades connaissent les leurs depuis le 11 décembre. La DEC consultée a dit qu'il faisait l'objet d'une suspicion de fraude</t>
  </si>
  <si>
    <t xml:space="preserve"> Attendre fin instruction pour être sûr. </t>
  </si>
  <si>
    <t>Frais de scolarité ou d'inscription</t>
  </si>
  <si>
    <t>Enseignement à distance : Collège</t>
  </si>
  <si>
    <t>Discipline et comportement</t>
  </si>
  <si>
    <t>Maternelle</t>
  </si>
  <si>
    <t>P - Organis. travail et relations prof.</t>
  </si>
  <si>
    <t>Affectation école</t>
  </si>
  <si>
    <t>CRE</t>
  </si>
  <si>
    <t>Affectation LP</t>
  </si>
  <si>
    <t>GUA</t>
  </si>
  <si>
    <t>REL,HAR</t>
  </si>
  <si>
    <t>LYO</t>
  </si>
  <si>
    <t>POI</t>
  </si>
  <si>
    <t>P - Mutation / Affectation</t>
  </si>
  <si>
    <t>P - Perso. d'inspection et de direction</t>
  </si>
  <si>
    <t>Personnel de direction</t>
  </si>
  <si>
    <t>Conditions de travail</t>
  </si>
  <si>
    <t>Principale mise en difficulté par une famille à la suite d'un tirage au sort pour une participation à un voyage</t>
  </si>
  <si>
    <t>P - Perso. admin. et ITRF cat. A, B et C</t>
  </si>
  <si>
    <t>Second degré sous contrat</t>
  </si>
  <si>
    <t>L'oncle dénonce le harcèlement subi par son neveu de la part d'élèves mais aussi d'une surveillante qui l'accuse de racisme comme toute la famille. Contact déjà pris, je conseille de faire interpeller le pôle harcèlement par les responsables légaux.</t>
  </si>
  <si>
    <t>Organisme de formation professionnelle</t>
  </si>
  <si>
    <t xml:space="preserve">Appui resté sans succès                                          </t>
  </si>
  <si>
    <t>CLE</t>
  </si>
  <si>
    <t>Inscription et réorientation dans sup.</t>
  </si>
  <si>
    <t>TOU</t>
  </si>
  <si>
    <t xml:space="preserve">Sollicitation restée sans suite                                  </t>
  </si>
  <si>
    <t>Premier degré sous contrat</t>
  </si>
  <si>
    <t>Pb de comportement enfant et communication avec l'école. AR le 19 déc Prendre contact pour RDV avec dir Ecrire maison diocésaine</t>
  </si>
  <si>
    <t>P - Protection sociale</t>
  </si>
  <si>
    <t>Aménagement de la scol. de l'élève</t>
  </si>
  <si>
    <t>Lycée général et techno. : Seconde</t>
  </si>
  <si>
    <t>Conflits intra familiaux</t>
  </si>
  <si>
    <t>MON</t>
  </si>
  <si>
    <t>ORL</t>
  </si>
  <si>
    <t>Père "famille homoparentale, trilingue, pluriraciale " qui arrive des Etats Unis se plaint discriminations école maternelle: son fils placé en 2 groupes alternatifs et sur photo classe élèves noires dernier rang. Adaptation diff. Conseils, explic et IEN</t>
  </si>
  <si>
    <t xml:space="preserve">Abandon de la réclamation par le réclamant                       </t>
  </si>
  <si>
    <t>REL,INT,HAN</t>
  </si>
  <si>
    <t>Parents élève de 4ème LF AEFE très en colère contre équipe éducative qui ne respecteraient ni leur fille ni prescriptions MDPH. Enfant en souffrance. Dialogue serait notamment rompu entre famille et 2 enseignants en part. Media saisit prov + COCAC + AEFE</t>
  </si>
  <si>
    <t>NUM</t>
  </si>
  <si>
    <t>BTS</t>
  </si>
  <si>
    <t>Le père de famille requérant conteste la décision du conseil de discipline à l'encontre de son fils</t>
  </si>
  <si>
    <t>Suite à une agression physique entre deux familles un des parents nous demande d'intervenir. Vu la description des faits nous conseillons le dépôt de plainte.</t>
  </si>
  <si>
    <t>REL,HAN</t>
  </si>
  <si>
    <t>Parent qui reproche au directeur de s'immiscer dans les relations entre la famille et l'école (directeur) alors qu'une situation de handicap se déclare et qu'une IP a été déposée. IEN rencontrera la famille et reprendra la situation</t>
  </si>
  <si>
    <t>Contestation de sanction à l'internat. La famille se désiste en refusant le contradictoire avec le proviseur.</t>
  </si>
  <si>
    <t>Notification AESH</t>
  </si>
  <si>
    <t>REU</t>
  </si>
  <si>
    <t>Jeune scolarisé dans une institution privée. Exclu par conseil de discipline.  Renvoi de la famille vers directeur diocésain de Valence.</t>
  </si>
  <si>
    <t>Conseil demandé: A qui s'adresser quand un enfant n'a pas son AESH (quotité à 100% du temps scolaire) depuis la rentrée de sept 24? Médiateur fait réponse en incitant la famille à écrire au DASEN74 (mise en demeure)</t>
  </si>
  <si>
    <t>Second degré hors contrat</t>
  </si>
  <si>
    <t>Logement Crous</t>
  </si>
  <si>
    <t>Ecoles et grandes écoles</t>
  </si>
  <si>
    <t>BES</t>
  </si>
  <si>
    <t>Signalement de différences de traitement injustifié en maternelle. Suite équipe éducative, modification de l'emploi du temps conformément au souhait de la famille qui a demandé la clôture du dossier.</t>
  </si>
  <si>
    <t>Aménagement épreuves</t>
  </si>
  <si>
    <t>comportement élève ayant entrainé la mise en place d'un contrat puis exclusion des 3 enfants de la famille par collège privé - etablissement contacté - dialogue renoué</t>
  </si>
  <si>
    <t>DIS</t>
  </si>
  <si>
    <t>mère se plaignant d'une sanction trop lourde visant son fils. Le dialogue famille/directrice a repris dans le sens de la co-éducation.</t>
  </si>
  <si>
    <t>conflit avec l'établissement privé  à propos  de la discipline : échanges avec la famille et conseils donnés</t>
  </si>
  <si>
    <t>Père d'élève fait état d'un certain nombre de griefs à l'encontre du Directeur de l'école de son fils Courrier transmis à l'IEN qui ne donne pas suite car l'enfant n'est plus scolarisé dans cette école.</t>
  </si>
  <si>
    <t>Famille résidant au Québec Interrogation pour inscription à l'école maternelle lors du retour prévu en France. Courrier avec explications</t>
  </si>
  <si>
    <t>maman qui voudrait que son enfant suive une scolarité à la maison. Motifs pour IEF envoyés à la maman</t>
  </si>
  <si>
    <t>La famille conteste la convocation de leur fils devant le conseil de discipline</t>
  </si>
  <si>
    <t>Conteste le placement de sa fille en ASE du conseil départemental. demande un repli dans une famille d'accueil</t>
  </si>
  <si>
    <t>parents inquiets pour enfant de maternelle (geste de tirer l'oreille supposé par la maitresse). dialogue non rompu entre famille, enseignante et direction d'école.</t>
  </si>
  <si>
    <t>Services administratifs cat. B</t>
  </si>
  <si>
    <t>demande de changement de collège par une famille dont le fils a un comportement inadapté - collège et DEE contactés</t>
  </si>
  <si>
    <t>souhaite joindre l'inspection pour dénoncer  des faits de la professeure : échange avec la famille et adresses données</t>
  </si>
  <si>
    <t>enseignante remplaçante sur un congé long est affectée sur une autre mission. Famille demande son maintien. Médiation en copie. AR</t>
  </si>
  <si>
    <t>Signale non retour de l'enfant au domicile de la mère par le père .Conflit intra familial, la situation relève du JAF, voire d'une plainte auprès des services de police ou procureur. Req informée</t>
  </si>
  <si>
    <t>Déclaration de désobéissance civile après refus IEF confirmé par TA, adressée en copie au médiateur. Classement en attente éventuelle saisine ultérieure.</t>
  </si>
  <si>
    <t>UOSUP Conc. Vanves : Ins. CNED 23-24 au concours du CAPEPS interne : l'inscrit aurait saisi le Médiateur par LRAR le 08.07 et par courriel le 13.08.24 : n'aurait pas reçu de réponse. Demande si dossier en cours d'instruction à la Médiation.</t>
  </si>
  <si>
    <t>SLB Demande conseils pour gestion famille très contestataire. Entretien tél ayant pour base le courrier qui a déjà été adressé à la famille.</t>
  </si>
  <si>
    <t>Elève qui se dit harcelée. Mais réalité autre car élève qui a des soucis depuis des années ( dépression/difficultés relationnelles. Point fait avec la famille qui accepte mes arguments</t>
  </si>
  <si>
    <t>Conteste l'exclusion définitive du fils suite au CD. Le médiateur explique à la famille que l'appel se fait auprès de la rectrice et non auprès du médiateur. Appel est fait dans les règles par la famille</t>
  </si>
  <si>
    <t>maman me demande si elle peut garder sa fille  scolarisée en maternelle à la maison pour la sieste l'après midi</t>
  </si>
  <si>
    <t>VH La famille conteste des heures de retenue infligées à l'élève pour défaut de vaccin</t>
  </si>
  <si>
    <t>Elève ayant subi une opération de l'intestin importante et qui n'a pas été scolarisé de l'année. La mère appréhende un retour à une scolarité ordinaire et demande le maintien à domicile. Orientée vers DASEN et médecin scolaire</t>
  </si>
  <si>
    <t xml:space="preserve">  date d'inscription au baccalauréat à distance MEDIA : oriente sur SIEC et informe</t>
  </si>
  <si>
    <t>Troubles du langage oral et écrit, bénéficie AESH 24h, mais 6h lui ont été enlevées pour réallocation autres élèves. A la demande de l'IEN AESH, dossier transféré pour instruction à l'IEN AVS de secteur</t>
  </si>
  <si>
    <t>UOCOL : famille vivant en Nouvelle calédonie : dem. ins. au CNED pour 23-24 Hémisphère Sud non pris en compte. Demande d'information pour ins. au CNED pour 25 en 6ème.</t>
  </si>
  <si>
    <t xml:space="preserve">inquiétude sur situation de violence contre son fils. Mme a déposé plainte contre famille concernée. Info donnée sur médiation impossible dans ce cas </t>
  </si>
  <si>
    <t>Autiste non verbal, en ULIS. AESH absente. Peut être violent, cherche une place en IME en attente depuis 3 ans, accueilli 1 jour 1/2 par semaine. IEN AESH a demandé le transfert pour instruction à l'IEN AVS de secteur</t>
  </si>
  <si>
    <t>AESH notifiée pour 24h par la MDA, mais aucune n'a été affectée à l'élève. A la demande de l'IEN AESH, dossier transféré pour instruction à l'IEN AVS de secteur</t>
  </si>
  <si>
    <t>Absence d'un AESH maîtrisant la LSF dans une ULIS pour élèves sourds. la situation est connue. la Rectorat adressera une réponse à la famille.</t>
  </si>
  <si>
    <t>Absence d'un AESH maîtrisant la LSF dans une ULIS pour élèves sourds. la situation est connue. Le Rectorat adressera une réponse à la famille.</t>
  </si>
  <si>
    <t>Problème du suivi du PAI de l'enfant au sein de l'école. Le médiateur contacte l'IEN circo qui se charge de contacter l'école et la famille.</t>
  </si>
  <si>
    <t>Souhait de la famille de faire appel  de la décision d'exclusion définitive prononcée par le CD du lycée doit être présenté devant la rectrice.</t>
  </si>
  <si>
    <t>Contestation d'une décision d'exclusion définitive Famille de l'élève aurait une preuve de l'innocence Renvoi vers commission d'appel</t>
  </si>
  <si>
    <t>Famille demande 2e changement d'affectation de l'année scolaire en 2nde GT Avis défavorable des 2 Chefs d'établissement. Famille recherche places vacantes en section Pro</t>
  </si>
  <si>
    <t>Mutation des personnels administratifs</t>
  </si>
  <si>
    <t>Gestionnaire rectorat en détachemt autre administration a dû quiiter domicile suite événemt familial. Partie ds famille à Toulouse. demande aide pour régulariser situ. Conseils</t>
  </si>
  <si>
    <t>AESH 12h individuel et 12h mutualisées. Envoyée 12h ds autre école pour 4 semaines et plus. A la demande de l'IEN AESH, le dossier est transmis pour instruction à l'IEN AVS de secteur.</t>
  </si>
  <si>
    <t>Mère mécontente qu'une sortie (dangereuse!) sur un chantier ait été organisée par l'école. Médiateur contacte l'IEN de circo qui enquête et répond à la famille.</t>
  </si>
  <si>
    <t>a passé les tests pour passer du privé HC au public, aucun retour depuis septembre- notif envoyée le 17 oct, famille dit pas reçue, place perdue au clg, va être réaffecté</t>
  </si>
  <si>
    <t>Enseignement à domicile</t>
  </si>
  <si>
    <t>Ne supportez plus l'enseignement au LP voudrait savoir comment faire l'instruction à domicile. Pas évident avec un enseignement professionnel, conseille voir avec le CIO</t>
  </si>
  <si>
    <t>Enfants scolarisés dans le même collège. Relation très complexe avec la famille avec exaspération et réactions inadaptées de part et d'autre. Médiation en présentiel.</t>
  </si>
  <si>
    <t xml:space="preserve">JV - élève harcelée via les réseaux sociaux et au sein de l'établissement, exclue à plusieurs reprises en raison de réactions agressives </t>
  </si>
  <si>
    <t xml:space="preserve">VH - situation de harcèlement non prise en compte par l'école </t>
  </si>
  <si>
    <t xml:space="preserve"> la famille a demandé une dérogation pour extraire l'élève de cette situation mais souhaite une enquête</t>
  </si>
  <si>
    <t xml:space="preserve">Demande conseil sur possibilité de refuser une punition, plusieurs étant prévues et acceptées sauf excuses publiques suite vol matériel pédagogique (rendu par famille). Père craint "mise au ban" par les autres élèves. Echange tél vu urgence </t>
  </si>
  <si>
    <t>Contestation de la sanction donnée à leur fille. Echange téléphonique avec lla maman puis avec la principale qui accepte de recevoir la famille pour explicitation</t>
  </si>
  <si>
    <t>3eme collège. Conflit avec famille Elève de 3eme à Paris. A été bousculé par une autre élève et a cassé une table. L'intendant demande remboursement. Ai sollicité principal qui accepte le non lieu.</t>
  </si>
  <si>
    <t>Elèv exclu 3 j alors qu'il n'a pas porté de coups mais les a reçus. Mail et appel vers la famille expliquant les contestations possibles. Elève qui a repris les cours normalement</t>
  </si>
  <si>
    <t>AESH pour 4 élèves suspendue, affectée autre école à un autre élève. A la demande de l'IEN AESH, dossier transféré pour instruction à l'IEN AVS de secteur</t>
  </si>
  <si>
    <t>Envoi d'un courrier recommandé par famille qui conteste l'état de l'ordinateur reçu par l'élève dans le cadre de la dotation régionale. Il s'agit d'un lycée agricole. Média non compétent.</t>
  </si>
  <si>
    <t>Signale comportement et propos déplacés d'un professeur.  (Courriel autre famille en pj) Principal a adressé dossier et témoignages à DPE qui étudie degré sanction. Req informée par BK que le dossier est bien instruit</t>
  </si>
  <si>
    <t>Enseignement professionnel</t>
  </si>
  <si>
    <t>Calcul des droits</t>
  </si>
  <si>
    <t>VH - PLP ébénisterie au sein d'un imbroglio administratif qui ne lui permet ni d'être à la retraite - erreur de calcul années de cotisation caisse complémentaire - ni en activité - les sces des la DEP-IEF ne lui fournissent pas d'attestation pour FTravail</t>
  </si>
  <si>
    <t>La mère de l'élève nous demande comment procéder à une IEF car sa fille ne veut plus aller au collège. Nous lui demandons plus de précisions.  Pas de réponse</t>
  </si>
  <si>
    <t>famille qui dénonce le manque d'AESH dans cette classe ULIS avec 12 notifications et une seule AESH</t>
  </si>
  <si>
    <t xml:space="preserve"> Réponse sur le manque de candidats</t>
  </si>
  <si>
    <t>Accident du travail</t>
  </si>
  <si>
    <t>Parent qui demande application de la notification MDPH et des renseignements sur les aménagements d'examen. Prise en compte par le lycée, proviseur adjoint recevra la famille</t>
  </si>
  <si>
    <t>Enseignante expose différents griefs à l'encontre de sa Cheffe d'établissement dont une journée de carence indûment prélevée Journée de carence recréditée sur paye de janvier</t>
  </si>
  <si>
    <t>Etudiante à distance à Paris. Perte possible du logement CROUS à Bordeaux. Réponse explicative du médiateur via le CROUS.</t>
  </si>
  <si>
    <t>Différend entre le collège et la famille au sujet du paiement de la restauration scolaire. Exclusion de la demi-pension en attendant règlement du litige. Repas assurés par un prestataire donc compétence DDD</t>
  </si>
  <si>
    <t>Famille qui conteste les aménagements et critiques qui lui sont faites (IP sociale). Situation très complexe, école dépassée car le handicap relève d'une prise en charge pluridisciplinaire</t>
  </si>
  <si>
    <t>Cardiopathie grave et asthme, demande affectation collège proche domicile ULIS 6ème et présence AESH. Collège proposé refusé par la famille, trop éloigné domicilereste ds son collège, transport par taxi assuré, recherche AESH</t>
  </si>
  <si>
    <t>En terminale avec AESH, transféré en ULIS sans AESH, perd pied, pb pour le bac. A la demande de l'IEN AESH, dossier transféré pour instruction à l'IEN AVS de secteur</t>
  </si>
  <si>
    <t>APADHE refusée. La famille demande un réexamen de la situation. Contacté par le médiateur, le SMS indique que le médecin va répondre à cette famille.</t>
  </si>
  <si>
    <t>Demande d'aide pour résoudre un différend au sujet de la comptabilité de l'internat. Situation résolue. Nouveau calcul effectué au bénéfice de la famille. Dette effacée et somme complémentaire à recevoir</t>
  </si>
  <si>
    <t xml:space="preserve">La mère nous contacte car sa fille de 12 ans auparavant en ULIS maintenant scolarisée à domicile devrait être inscrite en GS de maternelle ce qui serait insupportable psychologiquement pour sa fille. </t>
  </si>
  <si>
    <t>Parent qui conteste le traitement fait à son fils par un professeur (humiliation). Rencontre collège - famille pour tenter d'apaiser. Retour léger à une relation de confiance</t>
  </si>
  <si>
    <t>le dialogue a pu être rétabli entre la famille et le directeur de l'école au sujet des difficultés relationnelles et scolaires de la jeune</t>
  </si>
  <si>
    <t>Suite à du harcèlement au collège, cette élève de seconde sollicite l'autorisation d'enseignement à domicile. Recoit un avertissement pour manquement à l'oblgation scolaire. Convocation annulée</t>
  </si>
  <si>
    <t>famille appelée : ien à contacter  si le problème perdure ( pb réglé pour l'instant)</t>
  </si>
  <si>
    <t xml:space="preserve">PAP pas mis en place d'après la famille : la direction du collège adresse à la médiation  les dates des nombreux rv accordés et  la liste des actions mises en place </t>
  </si>
  <si>
    <t>contestation de sanction  : eleve sanctionné injustement sur dénonciation sans preuve selon la famille</t>
  </si>
  <si>
    <t>Echange franco-alld supprimé. Pb de récupération des finances Décision du rectorat ? 02/12 ppale. Changement application Op@le. Rectorat a dit ne pas faire voyage début 2025. Nbreux échanges avec famille. 02/12 réponds responsabilité revient à ppale.</t>
  </si>
  <si>
    <t>Protection juridique et déontologie</t>
  </si>
  <si>
    <t>Chef etab lycée privé en difficulté avec un père élève catho intégriste contestant contenus cours français - choix par le CE d'une rupture contrat établissement famille car dialogue impossible</t>
  </si>
  <si>
    <t>mail à la famille 27 nov: Mail à la DIVEL 77</t>
  </si>
  <si>
    <t>Recours suite à échec à un Bachelor La famille recherche une alternance pour financer le redoublement.</t>
  </si>
  <si>
    <t>contestation famille car élève placé en groupe de niveau faible - CLG contacté, dossier suivi, explications données mais la mère ne veut pas admettre les difficultés</t>
  </si>
  <si>
    <t>Contestation sanction et demande suppression courrier dans dossier Courrier AR le 26 nov Contact avec CE. A bcp échanger avec famille. Retirera courrier en fin année scolaire. Requérant OK</t>
  </si>
  <si>
    <t>UOCOL: Famille souhaite 5 enseignements réglementés CNED. Le formulaire mentionne 4 maxi. Possibilité de demander CNED en totalité par la famille. Médiateur CNED informé prend le dossier en charge.</t>
  </si>
  <si>
    <t>élève blessé pendant récré. pas d'info à la famille</t>
  </si>
  <si>
    <t xml:space="preserve">Conflit famille établissement à propos de la réponse au stage en entreprise. </t>
  </si>
  <si>
    <t xml:space="preserve">conflit avec le collège : conseils donnés, principale qui confirme les pb d 'indiscipline mais la famille refuse le rv proposé </t>
  </si>
  <si>
    <t>Sanction suite port du bermuda contact CE affaire réglée par le CE après entretien avec famille</t>
  </si>
  <si>
    <t>Père se plaint d'actes de violence de la part d'un enfant de maternelle sur ses filles Explications détaillées fournies par le Directeur IEN recevra famille avec Directeur</t>
  </si>
  <si>
    <t>Elève en seconde dont l'établissement est à une heure et demie du domicile alors qu'il habite à côté du lycée de secteur.</t>
  </si>
  <si>
    <t>litige concernant les PFMP. La famille doit rencontrer le proviseur du lycée.</t>
  </si>
  <si>
    <t xml:space="preserve">Pb tests CASNAV Défenseur des Droits alerte sur une famille SDF avec résidence adm à Paris qui n'a pu passer les tests CASNAV. Ai sollicité CASNAV qui accepte de les tester le 29 11 2024. </t>
  </si>
  <si>
    <t>Demande aide pour la signature d'un stage 2nde ASSP dans un autre département après refus départ. accueil hors académie. Stage trouvé à proximité domicile par famille</t>
  </si>
  <si>
    <t xml:space="preserve">VH - exclusion temporaire d'une journée </t>
  </si>
  <si>
    <t xml:space="preserve"> recours de la famille pour motif injustifié</t>
  </si>
  <si>
    <t>Elève agressé à la sortie du collège. Mère qui demande un collège plus près du domicile. Appel téléphonique à la mère. Affaire règlée</t>
  </si>
  <si>
    <t>La requérante se plaint de ce que son fils appréhende d'aller à l'école certains jours. J'informe l'IEN. Un dialogue renforcé s'instaure entre la famille et l'école et l'enfant retrouve une certaine sérénité.</t>
  </si>
  <si>
    <t>candidate handicap a eu aménagements épreuves DNB mais famille ne semble pas avoir déposé dde tiers temps dans délais impartis inscription au bac-pas possible de l'aider si dde hors délai</t>
  </si>
  <si>
    <t>Handicapée à 80%. Attribution AESH par la mDA, mais pas effective à l'école.  A la demande de l'IEN AESH, dossier trs,féré à l'IEN AVS de secteur pour instruction</t>
  </si>
  <si>
    <t>Un père de famille se plaint que le rectorat a mis àsa charge les frais de cantine de son fils alors qu'il considère que cela relève de son ex-femme</t>
  </si>
  <si>
    <t>Une mère de famille veut demander une bourse pour sa fille n on plus en son nom et mais en celui de son père dont les revenus sont moindres</t>
  </si>
  <si>
    <t>Une mère de famille se plaint de l'échec de son fils au bac en invoquant les problèmes qu'il a rencontré</t>
  </si>
  <si>
    <t>Elève de 3ème en conseil de discipline après un mois de mesure conservatoire. La famille fait appel après la décision d'exclusion Conseils donnés Elève replacé en collège</t>
  </si>
  <si>
    <t xml:space="preserve">constestation sur le traitement d'une agression entre élèves par la famille de l'agressé - famille non prévenue de l'agression de leur enfant par le collège - CLG contacté, </t>
  </si>
  <si>
    <t>Le requérant demande le regroupement de ses deux enfants dans un même collège, du plus jeune fils dans un même secteur géographique, car la famille est dans l'impossibilité d'organiser sûrement leur scolarité.</t>
  </si>
  <si>
    <t xml:space="preserve">CM N'a pas reçu les cours du cned de 6ème, convoquée pour contrôle Instruction en famille le 18 décembre. Le cned répond que cet élève n'est pas inscrit. Médiateur informe le service affectation34. 12 décembre : Cours du cned lui sont adressés  </t>
  </si>
  <si>
    <t>Contestation du fonctionnement de l'école. Saisine d'autres services de la DSDEN 33. Pas de prise en charge par le médiateur. à ce stade. Relance de la famille. Réponse explicative</t>
  </si>
  <si>
    <t>demande révision affectation pour rapprochement du domicile, a été affectée dans le collège le plus proche possible du fait des places dispo</t>
  </si>
  <si>
    <t>Le requérant ayant passé son BTS professions immobilières en enseignement à distance demande à obtenir son diplôme.</t>
  </si>
  <si>
    <t xml:space="preserve">La famille se plaint de ne pas avoir reçu de bourse cette année. </t>
  </si>
  <si>
    <t xml:space="preserve">La mère du jeune affirme que l'AESH a induit en erreur son fils pour une réponse de grammaire lors du DNB. Médiateur contacte la DEC : enquête adm. menée. Il n'y a pas de faute. Demande famille rejetée. </t>
  </si>
  <si>
    <t>Dénoncent harcèlt par camarade et intervention "famille" plus grands. CPE mise en cause. 14/11 appel clg. Difficulté intégr Facilement conflit. 6 retenues. Insultes faciles/adultes et camarades. CPE reçu parents. Nbres remarques en classe. Réponse 18/11</t>
  </si>
  <si>
    <t>refus IEF du DASEN confirmé après RAPO  demande annulation de la décision explications</t>
  </si>
  <si>
    <t>Famille qui se plaint d'une notification de sanction qui serait injuste. Compléments demandés mais ne donne pas suite</t>
  </si>
  <si>
    <t>IEF Contestation de refus. Saisine de la DSDEN 33. Refus confirmé.</t>
  </si>
  <si>
    <t>Conteste une sanction déjà exécutée. Demande au CE de prendre l'attache de la famille pour respecter le principe du contradictoire!</t>
  </si>
  <si>
    <t>Demande aide  pour mieux communiquer avec école et mairie (accéder à la cantine). Complément infos reçus. Accord IEN pour piloter réunion Educ nat/ famille/ mairie. Req informé le 2/12</t>
  </si>
  <si>
    <t>A été harcelée au collège, scolarisée en lycée, demande IEF pour raison de santé. Dossier reçu à la DSDEN, sera expertisé par médecin scolaire à qui le médiateur a transmis le certificat du pedopsychiatre qui suit Eva. Avis favorable</t>
  </si>
  <si>
    <t>Term. Mis à la porte maison par mère. Facture / avis abs envoyé. Inquiète. 12/11 prov : internat et hotel pdant vacances. Pris en charge etab et services sociaux. Abs signalée lundi erreur de vie scolaire.  12/11 réponses et échanges. Clos.</t>
  </si>
  <si>
    <t>Un père de famille se plaint de la note obtenue par son fils à l'épreuve de français du bac</t>
  </si>
  <si>
    <t>Demande aide suite difficultés relationnelles à l'école et avec autre parent élève provoquant mal-être enfant et famille. DDEC informée par BK prend en charge situation. Demandeuse informée</t>
  </si>
  <si>
    <t>Demande cours en présentiel en espagnol (pas de place et recommandation CNED ) - Réglé par la famille</t>
  </si>
  <si>
    <t xml:space="preserve">L'enfant est sans cesse frappé par un élève et malgré l'entretien de la dir avec la famille, cela continue. Elle conseille de voir avec la médiation mais j'oriente vers la pôle violence qui traitera. </t>
  </si>
  <si>
    <t xml:space="preserve">Demande que soit rappelé au directeur d'école son devoir d'information des familles. Renvoi vers supérieur hiérarchique: IEN Circo </t>
  </si>
  <si>
    <t>demande retour collège après IEF, affectation a tardé du fait des tests à passer</t>
  </si>
  <si>
    <t>Famille demande un changement de classe au sein de l'école. La directrice refuse. Le médiateur renseigne la famille sur la possibilité des recours possibles (IEN et DASEN) seuls décisionnaires.</t>
  </si>
  <si>
    <t>la mère de famille demande une affectation dans un établissement des Yvelines après un retour de l'enfant au foyer maternelle. Les coordonnées de la DVSCO78 sont transmises.</t>
  </si>
  <si>
    <t>La mère veut demander l'IEF pour son enfant qui serait harcelée. Nous la dirigeons vers le service concernée et lui proposons de contacter la cellule harcèlement. Nous prévenons les deux services.</t>
  </si>
  <si>
    <t>Cette demande relève de l'enseignement agricole : famille doit prendre l'attache de la DRAAF LYON.</t>
  </si>
  <si>
    <t>Famille réclame : paiement des indemnités de stage et frais de cantine pour leur fils. Suite à l'intervention du médiateur situation aussitôt débloquée par le lycée.</t>
  </si>
  <si>
    <t>Propos racistes prononcés par le professeur de math. Non esprimés contre le requérant. Alerte de la famille, le professeur est arrêté et non remplacé</t>
  </si>
  <si>
    <t>Etudiante étrangère veut informations sur PUIE et en particulier son doctorat à distance. Lui répond non reconnu par MESR</t>
  </si>
  <si>
    <t>Demande conseil. Fils 2 ans1/2, accusé d'attouchements sur une de ses camarades. Doit informer immédiatement l'IEN de la circonscription de la situation, mais ne pas entrer en contact direct avec l'autre famille pour éviter tout risque de dérapage</t>
  </si>
  <si>
    <t>Père d'élève qui alerte sur les agressions subies par son fils. M. dde des précisions et contacte l'IEN de circo mais la famille porte plainte contre la directrice dans le même temps. Médiation n'a donc plus lieu d'être</t>
  </si>
  <si>
    <t>Conteste un zéro obtenu après deux absences à l'évaluation de la spécialité de 1ère abandonnée en Term. Proviseur propose le rattrapage en décembre. Famille accepte</t>
  </si>
  <si>
    <t>Elève harcelée.Dépôt de plainte.Réunion mise en place au sein du Clg, des décisions arrêtées par l'équipe de direction pour apaiser la situation mais elles ne conviennent pas à la famille. Med interroge chef d'établissement qui reverra les parents.</t>
  </si>
  <si>
    <t>Famille conteste sanction disciplinaire Principal leur fournira des explications complémentaires</t>
  </si>
  <si>
    <t>Une mère de famille se plaint que sa fille n'ait plus de bourse à la suite de 3 échecs</t>
  </si>
  <si>
    <t>31 oct: mail à la famille et au proviseur 2 nov: réponse de la famille : dossier clos</t>
  </si>
  <si>
    <t>Recours suite à refus d'IEF 2nde G Pas obtenu à l'issue de la 3e Redoublement autorisé</t>
  </si>
  <si>
    <t>Mère d'un élève de 3è qui veut le déscolariser pour l'inscrire au CNED pour IEF Media suggère dialogue avec collège avant de donner infos sur IEF</t>
  </si>
  <si>
    <t>Elève ayant changé d'établissement suite à conseil de discipline. Après plusieurs semaines, la famille se plaint de ne toujours pas avoir accès à PRONOTE et de ne pas être entendue par le nouvel établissement. Intervention MED restée sans réponse.</t>
  </si>
  <si>
    <t>demande infos pour obtenir autorisation IEF</t>
  </si>
  <si>
    <t>Contestation de la décision de refus de l'instruction dans la famille pour les gens du voyage</t>
  </si>
  <si>
    <t>IEF refusée après RAPO AR le 31 oct Non suivi explications</t>
  </si>
  <si>
    <t>Demande changement de classe (CE2) au sein de l'école. Refus directrice et IEN. Le médiateur informe la famille qu'elle peut exercer un recours gracieux auprès du DASEN38, seul décisionnaire.</t>
  </si>
  <si>
    <t>père refuse de payer facture d'internat reçue avec deux années de retard. Demande de documents le 29 octobre. Le médiateur écrit au proviseur .  La facturation est bien justifiée. Explications fournies à la famille</t>
  </si>
  <si>
    <t>conteste rejet RAPO pour IEF et saisit aussi, DDD explications</t>
  </si>
  <si>
    <t>La mère du jeune ne comprend pas pourquoi les aides humaines ne sont pas mises en œuvre. Après investigation le médiateur se rend compte que les demandes n'ont pas été poursuivies car non demande à la MDPH. La CPE va s'occuper du jeune et de la famille.</t>
  </si>
  <si>
    <t>Inscrite au CNED, ne s'habitue pas à l'enseignement à distance. Veut retourner ds son lycée. Le proviseur refuse, classes à 35 et place de Sabina prise par un arrivant. Le service scolarité sollicité a trouvé une place dans un autre lycée du centre.</t>
  </si>
  <si>
    <t>Enseignant détaché AAE dans le cadre d'un reclassement saisit à nouveau médiation (précédent dossier La Réunion) car l'administration souhaite le détacher en catégorie B. Décision discri DDD en 2021 et instruction close par Media La Réunion en 2023</t>
  </si>
  <si>
    <t xml:space="preserve"> raisons avancées par la famille : victime de harcèlement, troubles DYS</t>
  </si>
  <si>
    <t>Demande copie annotée par examinateur. Vu avec responsable DIEC, accord DGESCO, copies d'écran transmise à la famille.</t>
  </si>
  <si>
    <t xml:space="preserve">Bourse non payée - collège sollicité - issue favorable pour la famille </t>
  </si>
  <si>
    <t>Pas d'affectation en lycée professionnel- courrier renvoyé tardivement - demande de précision à la famille dont téléphone</t>
  </si>
  <si>
    <t>Pas d'affectation en lycée professionnel pour élève mineur - transfert tardif du courrier - demande de précisions à la famille- élève affecté</t>
  </si>
  <si>
    <t>Demande un certificat de scolarité pour l'année 2023-2024 de sa soeur. Document à remettre au juge. Mais absence de réponse de l'école. IEN sollicité. Réponse: les éléments ont été adressés à la famille après vérifications d'usage</t>
  </si>
  <si>
    <t>Etudiante dans un organisme de formation privé conteste les appels de la directrice à son domicile en dépit de son état de santé fragile. Hors champ de compétence</t>
  </si>
  <si>
    <t xml:space="preserve"> pas de respect du PPS selon la famille</t>
  </si>
  <si>
    <t>Père dénonce situation de harcèlement . IEN précise mesures prises pour apaiser la situation dont mobilisation équipe pHARe de circonscription.  suite à demande de la famille un changement d'école  a été proposé. .</t>
  </si>
  <si>
    <t>CDU Griefs contre maître qui l'a bousculé le faisant tomber sur coccyx. Parents entendus par Directrice et la psychologue, équipe éducative. Enseignant retiré de l'établissement</t>
  </si>
  <si>
    <t>Refus du mère d'accueillir à la cantine les enfants qui bénéficient d'un PAI prévoyant la fourniture du repas par la famille.</t>
  </si>
  <si>
    <t>1ère STI2D. Redouble. Phobie scol. Demande CNED mais 1èreG refusée CC. 30/10 réponse conseils voir avec CIO et recours DSDEN. 12/11 réponse DSDEN : pas possible 1GT (refus CC) et possible IEF ailleurs que CNED. 12/11 réponse famille</t>
  </si>
  <si>
    <t>conteste le CD : explications données sur le déroulement de l'instance une première fois puis  de nouveau  à la rentrée des congés car la famille est anxieuse quant au déroulement de l'instance</t>
  </si>
  <si>
    <t>Prise de positions de l'IEN de CIRCO qui a changé sur le changement d'établissement d'un enfant. AR le 24 oct Médiation et doyen des IEN destinataires. Transfère aux doyens pour instruction Infos requérant revenir vers nous après réponse TA saisi</t>
  </si>
  <si>
    <t>Famille en provenance de St-Pierre et Miquelon.Demande aide pour l'inscription des enfants dans la nouvelle académie. MED oriente vers services compétents du rectorat puis vers MED en charge de St-Pierre et Miquelon pour un des enfants.</t>
  </si>
  <si>
    <t>Recours suite à refus IEF Entretien de médiation Recours rejeté</t>
  </si>
  <si>
    <t>Recours suite à refus d'IEF Entretien de médiation organisé Recours rejeté</t>
  </si>
  <si>
    <t>Recours suite à refus d'IEF pour deux enfants Entretien de médiation organisé Refus maintenu</t>
  </si>
  <si>
    <t>Recours suite à refus d'IEF Entretien de médiation Recours rejeté</t>
  </si>
  <si>
    <t>La famille d'un élève qui présente des difficultés d'adaptation au collège, souhaite choisir la classe et le professeur principal de l'enfant.</t>
  </si>
  <si>
    <t>Conteste la non application par la directrice des heures AESH accordées à leur fils. Entre la saisine adressée au pôle et sa transmission, courrier déjà transmis à l'IEN par la famille. Par précaution, second transfert ce jour</t>
  </si>
  <si>
    <t>la famille demande la mise en place d'un PAP, recommandé par le médecin familial et non validé par médecin scolaire.</t>
  </si>
  <si>
    <t>Parents qui contestent les mesures prises par l'établissement, notamment les appels répétés du principal. Considèrent cela comme de l'acharnement et craignent une réaction de leur enfant, lequel a une tendance dépressive. Principale recevra famille</t>
  </si>
  <si>
    <t>Mise en cause de l'infirmière scolaire qui n'aurait pas bien traité la migraine de sa fille. Mauvaise foi de la famille qui a refusé la discussion avec l'établissement</t>
  </si>
  <si>
    <t>IEF</t>
  </si>
  <si>
    <t>""</t>
  </si>
  <si>
    <t>LIRE !</t>
  </si>
  <si>
    <t>GARDER !</t>
  </si>
  <si>
    <t>&amp;</t>
  </si>
  <si>
    <t>Famille</t>
  </si>
  <si>
    <t>Instruction</t>
  </si>
  <si>
    <t>Domicile</t>
  </si>
  <si>
    <t>Maison</t>
  </si>
  <si>
    <t>Distance</t>
  </si>
  <si>
    <t>Correspondance</t>
  </si>
  <si>
    <t>oui</t>
  </si>
  <si>
    <t xml:space="preserve">Procédure d'attribution de bourse ralentie par la nécessité d'obtenir l'attestation d'une personne qui n'a rien à voir avec la famille de l'élève. </t>
  </si>
  <si>
    <t>La parent d'élève accuse la directrice de l'établissement de proférer des propos calomnieux qui porteraient préjudices aux familles et élèves.</t>
  </si>
  <si>
    <t xml:space="preserve">veut arrêter latin mais lycée refuse. Réponse rédigée pour la famille. Apaisement  </t>
  </si>
  <si>
    <t>Difficultés de scolarisation et griefs contre signalement. liste d'attente CMPEA, 3h aesh uniquement le lundi. Parents inquiets de la souffrance de leur fils qui est perdu le reste du temps. Mme Cros portera prioritairement ce dossier</t>
  </si>
  <si>
    <t>UOCOL : Courriel adressé également à M. le Référent instruction en famille DSDEN du Gard : il a été saisi par la mère de l'élève inscrit au CNED, pour 24-25 : erreur : il est inscrit en 4ème alors qu'il n'est qu'en 6ème.</t>
  </si>
  <si>
    <t>étudiant de BTS à distance qui a oublié de s'inscrire à l'examen. Inscriptions désormais closes</t>
  </si>
  <si>
    <t>Recours d'une famille dont la fille est humiliée en permanence par son professeur de technologie, ainsi que d'autres élèves</t>
  </si>
  <si>
    <t>Exclusion avec sursis transformée en exclusion de 2 jours sans information famille-élève</t>
  </si>
  <si>
    <t>Suite à un dépôt de plainte (harcèlement + agression physique), l'élève est "maltraité" par la direction de l'établissement et convoqué en conseil de discipline - recours de la famille qui n'obtient plus de réponse de l'établissement</t>
  </si>
  <si>
    <t>Entretien tél avec médiatrice qui demande récit écrit des faits et transmet à cellule harcèlement. Décembre : remerciements de la famille.</t>
  </si>
  <si>
    <t>Enfant en résidence alternée. La famille souhaite savoir dans quel collège de secteur elle sera affectée à la rentrée 2025</t>
  </si>
  <si>
    <t>Suite aménagement dans la Loire, demande d'inscription dans un lycée à proximité du domicile de l'élève ou avec une section en lien avec les projets de l'élève</t>
  </si>
  <si>
    <t>Demande tardive IEF pour enfant récupéré chez père et domicilié chez sa mère désormais. Médiateur accuse réception et transmet courriel aux services compétents.</t>
  </si>
  <si>
    <t>En CAP tourneur en céramique à xx. Problème de stage et d'attestation. Dérogation obtenue avant l'instruction du dossier.</t>
  </si>
  <si>
    <t>Conteste les modalités de mise en œuvre du PPS de son fils. L'IEN SDEI m'informe de la complexité de la relation avec la famille, la référente suit la situation étroitement et doit rencontrer la famille</t>
  </si>
  <si>
    <t>Conflit de la famille avec la direction dans un contexte de téléphone cassé et de harcèlement antérieur</t>
  </si>
  <si>
    <t>M fait intervenir son assureur pour obtenir info complémentaire sur accident. Transmission de la   demande à la DIVEL et famille informée</t>
  </si>
  <si>
    <t>Trouvé</t>
  </si>
  <si>
    <t>Gardé</t>
  </si>
  <si>
    <t>Demande de CNED. Lycée JR</t>
  </si>
  <si>
    <t xml:space="preserve">Recours suite à échec au baccalauréat (9,86) </t>
  </si>
  <si>
    <t>Aurait besoin bourse scolaire car soutien famille recomposée avec maman UKRAINE</t>
  </si>
  <si>
    <t>Recours suite à refus d'IEF Procédure en cours auprès du Procureur de xx donc refus de médiation de la part du recteur tant que la procédure est en cours</t>
  </si>
  <si>
    <t xml:space="preserve"> la famille est en panne de dialogue avec les équipes et souhaite de l'aide car xx ne veut plus aller en cours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</si>
</sst>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MT"/>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8" tint="0.59999389629810485"/>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33" borderId="0" xfId="0" applyFill="1"/>
    <xf numFmtId="0" fontId="0" fillId="34" borderId="0" xfId="0" applyFill="1"/>
    <xf numFmtId="0" fontId="0" fillId="35" borderId="0" xfId="0" applyFill="1"/>
    <xf numFmtId="0" fontId="18" fillId="35" borderId="10" xfId="0" applyFont="1" applyFill="1" applyBorder="1" applyAlignment="1">
      <alignment vertical="center" wrapText="1"/>
    </xf>
    <xf numFmtId="0" fontId="18" fillId="35" borderId="11" xfId="0" applyFont="1" applyFill="1" applyBorder="1" applyAlignment="1">
      <alignmen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200"/>
  <sheetViews>
    <sheetView tabSelected="1" topLeftCell="C161" zoomScale="85" zoomScaleNormal="85" workbookViewId="0">
      <selection activeCell="H192" sqref="H192"/>
    </sheetView>
  </sheetViews>
  <sheetFormatPr baseColWidth="10" defaultRowHeight="14.5" x14ac:dyDescent="0.35"/>
  <cols>
    <col min="7" max="7" width="40.6328125" customWidth="1"/>
    <col min="8" max="8" width="27.1796875" customWidth="1"/>
    <col min="11" max="11" width="28.26953125" customWidth="1"/>
    <col min="22" max="22" width="29.7265625" customWidth="1"/>
  </cols>
  <sheetData>
    <row r="1" spans="1:38" ht="25.5" thickBot="1" x14ac:dyDescent="0.4">
      <c r="A1" t="s">
        <v>0</v>
      </c>
      <c r="B1" t="s">
        <v>1</v>
      </c>
      <c r="C1" t="s">
        <v>11</v>
      </c>
      <c r="D1" t="s">
        <v>2</v>
      </c>
      <c r="E1" t="s">
        <v>3</v>
      </c>
      <c r="F1" t="s">
        <v>4</v>
      </c>
      <c r="G1" t="s">
        <v>5</v>
      </c>
      <c r="H1" t="s">
        <v>6</v>
      </c>
      <c r="I1" t="s">
        <v>8</v>
      </c>
      <c r="J1" t="s">
        <v>10</v>
      </c>
      <c r="K1" t="s">
        <v>7</v>
      </c>
      <c r="L1" t="s">
        <v>9</v>
      </c>
      <c r="M1" t="s">
        <v>12</v>
      </c>
      <c r="S1" t="s">
        <v>318</v>
      </c>
      <c r="T1" s="4" t="s">
        <v>319</v>
      </c>
      <c r="U1" s="4" t="s">
        <v>320</v>
      </c>
      <c r="V1" s="4" t="s">
        <v>321</v>
      </c>
      <c r="W1" s="5" t="s">
        <v>322</v>
      </c>
      <c r="X1" s="6" t="s">
        <v>323</v>
      </c>
      <c r="Y1" s="6" t="s">
        <v>324</v>
      </c>
      <c r="Z1" s="6" t="s">
        <v>325</v>
      </c>
      <c r="AA1" s="6" t="s">
        <v>326</v>
      </c>
      <c r="AB1" s="6" t="s">
        <v>327</v>
      </c>
      <c r="AC1" s="6" t="s">
        <v>317</v>
      </c>
      <c r="AF1" s="5" t="s">
        <v>322</v>
      </c>
      <c r="AG1" s="6" t="s">
        <v>323</v>
      </c>
      <c r="AH1" s="6" t="s">
        <v>324</v>
      </c>
      <c r="AI1" s="6" t="s">
        <v>325</v>
      </c>
      <c r="AJ1" s="6" t="s">
        <v>326</v>
      </c>
      <c r="AK1" s="6" t="s">
        <v>327</v>
      </c>
      <c r="AL1" s="6" t="s">
        <v>317</v>
      </c>
    </row>
    <row r="2" spans="1:38" x14ac:dyDescent="0.35">
      <c r="A2" s="1">
        <v>45649</v>
      </c>
      <c r="B2" s="1">
        <v>45650</v>
      </c>
      <c r="C2">
        <v>2024016480712</v>
      </c>
      <c r="D2" t="s">
        <v>58</v>
      </c>
      <c r="E2" t="s">
        <v>28</v>
      </c>
      <c r="F2" t="s">
        <v>55</v>
      </c>
      <c r="G2" t="s">
        <v>36</v>
      </c>
      <c r="H2" t="s">
        <v>37</v>
      </c>
      <c r="I2" t="s">
        <v>61</v>
      </c>
      <c r="J2" t="s">
        <v>19</v>
      </c>
      <c r="M2" t="s">
        <v>62</v>
      </c>
      <c r="T2">
        <f t="shared" ref="T2:T33" si="0">IF(SUM(W2:AC2)&gt;0,1,"")</f>
        <v>1</v>
      </c>
      <c r="U2" t="s">
        <v>328</v>
      </c>
      <c r="V2" s="2" t="str">
        <f>M2&amp;"&amp;"&amp;N2&amp;"&amp;"&amp;O2&amp;"&amp;"&amp;P2&amp;"&amp;"&amp;Q2&amp;"&amp;"&amp;R2</f>
        <v>La requérante suite à une situation de harcèlement nous saisit pour IEF mais sa demande n'est âs claire. Nous lui demandons des précisions. &amp;&amp;&amp;&amp;&amp;</v>
      </c>
      <c r="W2" t="str">
        <f t="shared" ref="W2:W65" si="1">IF(ISNUMBER(SEARCH($W$1,$V2)),1,"")</f>
        <v/>
      </c>
      <c r="X2" t="str">
        <f t="shared" ref="X2:X65" si="2">IF(ISNUMBER(SEARCH($X$1,$V2)),1,"")</f>
        <v/>
      </c>
      <c r="Y2" t="str">
        <f t="shared" ref="Y2:Y65" si="3">IF(ISNUMBER(SEARCH($Y$1,$V2)),1,"")</f>
        <v/>
      </c>
      <c r="Z2" t="str">
        <f t="shared" ref="Z2:Z65" si="4">IF(ISNUMBER(SEARCH($Z$1,$V2)),1,"")</f>
        <v/>
      </c>
      <c r="AA2" t="str">
        <f t="shared" ref="AA2:AA65" si="5">IF(ISNUMBER(SEARCH($AA$1,$V2)),1,"")</f>
        <v/>
      </c>
      <c r="AB2" t="str">
        <f t="shared" ref="AB2:AB65" si="6">IF(ISNUMBER(SEARCH($AB$1,$V2)),1,"")</f>
        <v/>
      </c>
      <c r="AC2">
        <f t="shared" ref="AC2:AC65" si="7">IF(ISNUMBER(SEARCH($AC$1,$V2)),1,"")</f>
        <v>1</v>
      </c>
      <c r="AE2" t="s">
        <v>346</v>
      </c>
      <c r="AF2">
        <f t="shared" ref="AF2:AL2" si="8">SUM(W2:W200)</f>
        <v>141</v>
      </c>
      <c r="AG2">
        <f t="shared" si="8"/>
        <v>16</v>
      </c>
      <c r="AH2">
        <f t="shared" si="8"/>
        <v>14</v>
      </c>
      <c r="AI2">
        <f t="shared" si="8"/>
        <v>4</v>
      </c>
      <c r="AJ2">
        <f t="shared" si="8"/>
        <v>6</v>
      </c>
      <c r="AK2">
        <f t="shared" si="8"/>
        <v>0</v>
      </c>
      <c r="AL2">
        <f t="shared" si="8"/>
        <v>26</v>
      </c>
    </row>
    <row r="3" spans="1:38" x14ac:dyDescent="0.35">
      <c r="A3" s="1">
        <v>45649</v>
      </c>
      <c r="B3" s="1">
        <v>45656</v>
      </c>
      <c r="C3">
        <v>2024016499035</v>
      </c>
      <c r="D3" t="s">
        <v>20</v>
      </c>
      <c r="E3" t="s">
        <v>28</v>
      </c>
      <c r="F3" t="s">
        <v>66</v>
      </c>
      <c r="G3" t="s">
        <v>36</v>
      </c>
      <c r="H3" t="s">
        <v>67</v>
      </c>
      <c r="I3" t="s">
        <v>18</v>
      </c>
      <c r="J3" t="s">
        <v>19</v>
      </c>
      <c r="M3" t="s">
        <v>68</v>
      </c>
      <c r="T3">
        <f t="shared" si="0"/>
        <v>1</v>
      </c>
      <c r="V3" s="2" t="str">
        <f t="shared" ref="V2:V65" si="9">M3&amp;"&amp;"&amp;N3&amp;"&amp;"&amp;O3&amp;"&amp;"&amp;P3&amp;"&amp;"&amp;Q3&amp;"&amp;"&amp;R3</f>
        <v>mère qui demande l'inscription de sa fille dans un établissement plus proche de son domicile. Conseils donnés.&amp;&amp;&amp;&amp;&amp;</v>
      </c>
      <c r="W3" t="str">
        <f t="shared" si="1"/>
        <v/>
      </c>
      <c r="X3" t="str">
        <f t="shared" si="2"/>
        <v/>
      </c>
      <c r="Y3">
        <f t="shared" si="3"/>
        <v>1</v>
      </c>
      <c r="Z3" t="str">
        <f t="shared" si="4"/>
        <v/>
      </c>
      <c r="AA3" t="str">
        <f t="shared" si="5"/>
        <v/>
      </c>
      <c r="AB3" t="str">
        <f t="shared" si="6"/>
        <v/>
      </c>
      <c r="AC3" t="str">
        <f t="shared" si="7"/>
        <v/>
      </c>
      <c r="AE3" t="s">
        <v>347</v>
      </c>
      <c r="AF3">
        <f t="shared" ref="AF3:AL3" si="10">COUNTIFS(W:W,1,$U:$U,"oui")</f>
        <v>2</v>
      </c>
      <c r="AG3">
        <f t="shared" si="10"/>
        <v>2</v>
      </c>
      <c r="AH3">
        <f t="shared" si="10"/>
        <v>1</v>
      </c>
      <c r="AI3">
        <f t="shared" si="10"/>
        <v>1</v>
      </c>
      <c r="AJ3">
        <f t="shared" si="10"/>
        <v>0</v>
      </c>
      <c r="AK3">
        <f t="shared" si="10"/>
        <v>0</v>
      </c>
      <c r="AL3">
        <f t="shared" si="10"/>
        <v>26</v>
      </c>
    </row>
    <row r="4" spans="1:38" x14ac:dyDescent="0.35">
      <c r="A4" s="1">
        <v>45646</v>
      </c>
      <c r="B4" s="1">
        <v>45646</v>
      </c>
      <c r="C4">
        <v>2024016461731</v>
      </c>
      <c r="D4" t="s">
        <v>82</v>
      </c>
      <c r="E4" t="s">
        <v>28</v>
      </c>
      <c r="F4" t="s">
        <v>83</v>
      </c>
      <c r="G4" t="s">
        <v>41</v>
      </c>
      <c r="H4" t="s">
        <v>84</v>
      </c>
      <c r="I4" t="s">
        <v>43</v>
      </c>
      <c r="J4" t="s">
        <v>19</v>
      </c>
      <c r="M4" t="s">
        <v>85</v>
      </c>
      <c r="N4" t="s">
        <v>86</v>
      </c>
      <c r="T4">
        <f t="shared" si="0"/>
        <v>1</v>
      </c>
      <c r="V4" s="2" t="str">
        <f t="shared" si="9"/>
        <v>Ne comprend pas pourquoi il n''a pas eu ses résultats au DSCG,alors que ses camarades connaissent les leurs depuis le 11 décembre. La DEC consultée a dit qu'il faisait l'objet d'une suspicion de fraude&amp; Attendre fin instruction pour être sûr. &amp;&amp;&amp;&amp;</v>
      </c>
      <c r="W4" t="str">
        <f t="shared" si="1"/>
        <v/>
      </c>
      <c r="X4">
        <f t="shared" si="2"/>
        <v>1</v>
      </c>
      <c r="Y4" t="str">
        <f t="shared" si="3"/>
        <v/>
      </c>
      <c r="Z4" t="str">
        <f t="shared" si="4"/>
        <v/>
      </c>
      <c r="AA4" t="str">
        <f t="shared" si="5"/>
        <v/>
      </c>
      <c r="AB4" t="str">
        <f t="shared" si="6"/>
        <v/>
      </c>
      <c r="AC4" t="str">
        <f t="shared" si="7"/>
        <v/>
      </c>
    </row>
    <row r="5" spans="1:38" x14ac:dyDescent="0.35">
      <c r="A5" s="1">
        <v>45645</v>
      </c>
      <c r="B5" s="1">
        <v>45646</v>
      </c>
      <c r="C5">
        <v>2024016465352</v>
      </c>
      <c r="D5" t="s">
        <v>97</v>
      </c>
      <c r="E5" t="s">
        <v>100</v>
      </c>
      <c r="F5" t="s">
        <v>101</v>
      </c>
      <c r="G5" t="s">
        <v>91</v>
      </c>
      <c r="H5" t="s">
        <v>102</v>
      </c>
      <c r="I5" t="s">
        <v>75</v>
      </c>
      <c r="J5" t="s">
        <v>19</v>
      </c>
      <c r="M5" t="s">
        <v>103</v>
      </c>
      <c r="T5">
        <f t="shared" si="0"/>
        <v>1</v>
      </c>
      <c r="V5" s="2" t="str">
        <f t="shared" si="9"/>
        <v>Principale mise en difficulté par une famille à la suite d'un tirage au sort pour une participation à un voyage&amp;&amp;&amp;&amp;&amp;</v>
      </c>
      <c r="W5">
        <f t="shared" si="1"/>
        <v>1</v>
      </c>
      <c r="X5" t="str">
        <f t="shared" si="2"/>
        <v/>
      </c>
      <c r="Y5" t="str">
        <f t="shared" si="3"/>
        <v/>
      </c>
      <c r="Z5" t="str">
        <f t="shared" si="4"/>
        <v/>
      </c>
      <c r="AA5" t="str">
        <f t="shared" si="5"/>
        <v/>
      </c>
      <c r="AB5" t="str">
        <f t="shared" si="6"/>
        <v/>
      </c>
      <c r="AC5" t="str">
        <f t="shared" si="7"/>
        <v/>
      </c>
    </row>
    <row r="6" spans="1:38" x14ac:dyDescent="0.35">
      <c r="A6" s="1">
        <v>45644</v>
      </c>
      <c r="B6" s="1">
        <v>45657</v>
      </c>
      <c r="C6">
        <v>252305</v>
      </c>
      <c r="D6" t="s">
        <v>13</v>
      </c>
      <c r="E6" t="s">
        <v>28</v>
      </c>
      <c r="F6" t="s">
        <v>29</v>
      </c>
      <c r="G6" t="s">
        <v>16</v>
      </c>
      <c r="H6" t="s">
        <v>79</v>
      </c>
      <c r="I6" t="s">
        <v>61</v>
      </c>
      <c r="J6" t="s">
        <v>19</v>
      </c>
      <c r="M6" t="s">
        <v>106</v>
      </c>
      <c r="T6">
        <f t="shared" si="0"/>
        <v>1</v>
      </c>
      <c r="V6" s="2" t="str">
        <f t="shared" si="9"/>
        <v>L'oncle dénonce le harcèlement subi par son neveu de la part d'élèves mais aussi d'une surveillante qui l'accuse de racisme comme toute la famille. Contact déjà pris, je conseille de faire interpeller le pôle harcèlement par les responsables légaux.&amp;&amp;&amp;&amp;&amp;</v>
      </c>
      <c r="W6">
        <f t="shared" si="1"/>
        <v>1</v>
      </c>
      <c r="X6" t="str">
        <f t="shared" si="2"/>
        <v/>
      </c>
      <c r="Y6" t="str">
        <f t="shared" si="3"/>
        <v/>
      </c>
      <c r="Z6" t="str">
        <f t="shared" si="4"/>
        <v/>
      </c>
      <c r="AA6" t="str">
        <f t="shared" si="5"/>
        <v/>
      </c>
      <c r="AB6" t="str">
        <f t="shared" si="6"/>
        <v/>
      </c>
      <c r="AC6" t="str">
        <f t="shared" si="7"/>
        <v/>
      </c>
    </row>
    <row r="7" spans="1:38" x14ac:dyDescent="0.35">
      <c r="A7" s="1">
        <v>45644</v>
      </c>
      <c r="B7" s="1">
        <v>45646</v>
      </c>
      <c r="C7">
        <v>2024016460251</v>
      </c>
      <c r="D7" t="s">
        <v>98</v>
      </c>
      <c r="E7" t="s">
        <v>32</v>
      </c>
      <c r="F7" t="s">
        <v>113</v>
      </c>
      <c r="G7" t="s">
        <v>16</v>
      </c>
      <c r="H7" t="s">
        <v>17</v>
      </c>
      <c r="I7" t="s">
        <v>18</v>
      </c>
      <c r="J7" t="s">
        <v>19</v>
      </c>
      <c r="M7" t="s">
        <v>114</v>
      </c>
      <c r="T7">
        <f t="shared" si="0"/>
        <v>1</v>
      </c>
      <c r="V7" s="2" t="str">
        <f t="shared" si="9"/>
        <v>Pb de comportement enfant et communication avec l'école. AR le 19 déc Prendre contact pour RDV avec dir Ecrire maison diocésaine&amp;&amp;&amp;&amp;&amp;</v>
      </c>
      <c r="W7" t="str">
        <f t="shared" si="1"/>
        <v/>
      </c>
      <c r="X7" t="str">
        <f t="shared" si="2"/>
        <v/>
      </c>
      <c r="Y7" t="str">
        <f t="shared" si="3"/>
        <v/>
      </c>
      <c r="Z7">
        <f t="shared" si="4"/>
        <v>1</v>
      </c>
      <c r="AA7" t="str">
        <f t="shared" si="5"/>
        <v/>
      </c>
      <c r="AB7" t="str">
        <f t="shared" si="6"/>
        <v/>
      </c>
      <c r="AC7" t="str">
        <f t="shared" si="7"/>
        <v/>
      </c>
    </row>
    <row r="8" spans="1:38" x14ac:dyDescent="0.35">
      <c r="A8" s="1">
        <v>45643</v>
      </c>
      <c r="B8" s="1">
        <v>45644</v>
      </c>
      <c r="C8">
        <v>252359</v>
      </c>
      <c r="D8" t="s">
        <v>31</v>
      </c>
      <c r="E8" t="s">
        <v>14</v>
      </c>
      <c r="F8" t="s">
        <v>90</v>
      </c>
      <c r="G8" t="s">
        <v>16</v>
      </c>
      <c r="H8" t="s">
        <v>17</v>
      </c>
      <c r="I8" t="s">
        <v>18</v>
      </c>
      <c r="J8" t="s">
        <v>26</v>
      </c>
      <c r="K8" t="s">
        <v>25</v>
      </c>
      <c r="M8" t="s">
        <v>121</v>
      </c>
      <c r="T8">
        <f t="shared" si="0"/>
        <v>1</v>
      </c>
      <c r="V8" s="2" t="str">
        <f t="shared" si="9"/>
        <v>Père "famille homoparentale, trilingue, pluriraciale " qui arrive des Etats Unis se plaint discriminations école maternelle: son fils placé en 2 groupes alternatifs et sur photo classe élèves noires dernier rang. Adaptation diff. Conseils, explic et IEN&amp;&amp;&amp;&amp;&amp;</v>
      </c>
      <c r="W8">
        <f t="shared" si="1"/>
        <v>1</v>
      </c>
      <c r="X8" t="str">
        <f t="shared" si="2"/>
        <v/>
      </c>
      <c r="Y8" t="str">
        <f t="shared" si="3"/>
        <v/>
      </c>
      <c r="Z8" t="str">
        <f t="shared" si="4"/>
        <v/>
      </c>
      <c r="AA8" t="str">
        <f t="shared" si="5"/>
        <v/>
      </c>
      <c r="AB8" t="str">
        <f t="shared" si="6"/>
        <v/>
      </c>
      <c r="AC8" t="str">
        <f t="shared" si="7"/>
        <v/>
      </c>
    </row>
    <row r="9" spans="1:38" x14ac:dyDescent="0.35">
      <c r="A9" s="1">
        <v>45643</v>
      </c>
      <c r="B9" s="1">
        <v>45646</v>
      </c>
      <c r="C9">
        <v>252374</v>
      </c>
      <c r="D9" t="s">
        <v>40</v>
      </c>
      <c r="E9" t="s">
        <v>28</v>
      </c>
      <c r="F9" t="s">
        <v>74</v>
      </c>
      <c r="G9" t="s">
        <v>16</v>
      </c>
      <c r="H9" t="s">
        <v>17</v>
      </c>
      <c r="I9" t="s">
        <v>123</v>
      </c>
      <c r="J9" t="s">
        <v>26</v>
      </c>
      <c r="K9" t="s">
        <v>38</v>
      </c>
      <c r="L9" t="s">
        <v>39</v>
      </c>
      <c r="M9" t="s">
        <v>124</v>
      </c>
      <c r="T9">
        <f t="shared" si="0"/>
        <v>1</v>
      </c>
      <c r="V9" s="2" t="str">
        <f t="shared" si="9"/>
        <v>Parents élève de 4ème LF AEFE très en colère contre équipe éducative qui ne respecteraient ni leur fille ni prescriptions MDPH. Enfant en souffrance. Dialogue serait notamment rompu entre famille et 2 enseignants en part. Media saisit prov + COCAC + AEFE&amp;&amp;&amp;&amp;&amp;</v>
      </c>
      <c r="W9">
        <f t="shared" si="1"/>
        <v>1</v>
      </c>
      <c r="X9" t="str">
        <f t="shared" si="2"/>
        <v/>
      </c>
      <c r="Y9" t="str">
        <f t="shared" si="3"/>
        <v/>
      </c>
      <c r="Z9" t="str">
        <f t="shared" si="4"/>
        <v/>
      </c>
      <c r="AA9" t="str">
        <f t="shared" si="5"/>
        <v/>
      </c>
      <c r="AB9" t="str">
        <f t="shared" si="6"/>
        <v/>
      </c>
      <c r="AC9" t="str">
        <f t="shared" si="7"/>
        <v/>
      </c>
    </row>
    <row r="10" spans="1:38" x14ac:dyDescent="0.35">
      <c r="A10" s="1">
        <v>45643</v>
      </c>
      <c r="B10" s="1">
        <v>45650</v>
      </c>
      <c r="C10">
        <v>2024016470464</v>
      </c>
      <c r="D10" t="s">
        <v>20</v>
      </c>
      <c r="E10" t="s">
        <v>28</v>
      </c>
      <c r="F10" t="s">
        <v>117</v>
      </c>
      <c r="G10" t="s">
        <v>16</v>
      </c>
      <c r="H10" t="s">
        <v>89</v>
      </c>
      <c r="I10" t="s">
        <v>18</v>
      </c>
      <c r="J10" t="s">
        <v>19</v>
      </c>
      <c r="M10" t="s">
        <v>127</v>
      </c>
      <c r="T10">
        <f t="shared" si="0"/>
        <v>1</v>
      </c>
      <c r="V10" s="2" t="str">
        <f t="shared" si="9"/>
        <v>Le père de famille requérant conteste la décision du conseil de discipline à l'encontre de son fils&amp;&amp;&amp;&amp;&amp;</v>
      </c>
      <c r="W10">
        <f t="shared" si="1"/>
        <v>1</v>
      </c>
      <c r="X10" t="str">
        <f t="shared" si="2"/>
        <v/>
      </c>
      <c r="Y10" t="str">
        <f t="shared" si="3"/>
        <v/>
      </c>
      <c r="Z10" t="str">
        <f t="shared" si="4"/>
        <v/>
      </c>
      <c r="AA10" t="str">
        <f t="shared" si="5"/>
        <v/>
      </c>
      <c r="AB10" t="str">
        <f t="shared" si="6"/>
        <v/>
      </c>
      <c r="AC10" t="str">
        <f t="shared" si="7"/>
        <v/>
      </c>
    </row>
    <row r="11" spans="1:38" x14ac:dyDescent="0.35">
      <c r="A11" s="1">
        <v>45643</v>
      </c>
      <c r="B11" s="1">
        <v>45657</v>
      </c>
      <c r="C11">
        <v>2024016500953</v>
      </c>
      <c r="D11" t="s">
        <v>58</v>
      </c>
      <c r="E11" t="s">
        <v>14</v>
      </c>
      <c r="F11" t="s">
        <v>15</v>
      </c>
      <c r="G11" t="s">
        <v>16</v>
      </c>
      <c r="H11" t="s">
        <v>17</v>
      </c>
      <c r="I11" t="s">
        <v>18</v>
      </c>
      <c r="J11" t="s">
        <v>19</v>
      </c>
      <c r="M11" t="s">
        <v>128</v>
      </c>
      <c r="T11">
        <f t="shared" si="0"/>
        <v>1</v>
      </c>
      <c r="V11" s="2" t="str">
        <f t="shared" si="9"/>
        <v>Suite à une agression physique entre deux familles un des parents nous demande d'intervenir. Vu la description des faits nous conseillons le dépôt de plainte.&amp;&amp;&amp;&amp;&amp;</v>
      </c>
      <c r="W11">
        <f t="shared" si="1"/>
        <v>1</v>
      </c>
      <c r="X11" t="str">
        <f t="shared" si="2"/>
        <v/>
      </c>
      <c r="Y11" t="str">
        <f t="shared" si="3"/>
        <v/>
      </c>
      <c r="Z11" t="str">
        <f t="shared" si="4"/>
        <v/>
      </c>
      <c r="AA11" t="str">
        <f t="shared" si="5"/>
        <v/>
      </c>
      <c r="AB11" t="str">
        <f t="shared" si="6"/>
        <v/>
      </c>
      <c r="AC11" t="str">
        <f t="shared" si="7"/>
        <v/>
      </c>
    </row>
    <row r="12" spans="1:38" x14ac:dyDescent="0.35">
      <c r="A12" s="1">
        <v>45642</v>
      </c>
      <c r="B12" s="1">
        <v>45646</v>
      </c>
      <c r="C12">
        <v>252251</v>
      </c>
      <c r="D12" t="s">
        <v>97</v>
      </c>
      <c r="E12" t="s">
        <v>14</v>
      </c>
      <c r="F12" t="s">
        <v>90</v>
      </c>
      <c r="G12" t="s">
        <v>16</v>
      </c>
      <c r="H12" t="s">
        <v>17</v>
      </c>
      <c r="I12" t="s">
        <v>129</v>
      </c>
      <c r="J12" t="s">
        <v>26</v>
      </c>
      <c r="K12" t="s">
        <v>38</v>
      </c>
      <c r="L12" t="s">
        <v>81</v>
      </c>
      <c r="M12" t="s">
        <v>130</v>
      </c>
      <c r="T12">
        <f t="shared" si="0"/>
        <v>1</v>
      </c>
      <c r="V12" s="2" t="str">
        <f t="shared" si="9"/>
        <v>Parent qui reproche au directeur de s'immiscer dans les relations entre la famille et l'école (directeur) alors qu'une situation de handicap se déclare et qu'une IP a été déposée. IEN rencontrera la famille et reprendra la situation&amp;&amp;&amp;&amp;&amp;</v>
      </c>
      <c r="W12">
        <f t="shared" si="1"/>
        <v>1</v>
      </c>
      <c r="X12" t="str">
        <f t="shared" si="2"/>
        <v/>
      </c>
      <c r="Y12" t="str">
        <f t="shared" si="3"/>
        <v/>
      </c>
      <c r="Z12" t="str">
        <f t="shared" si="4"/>
        <v/>
      </c>
      <c r="AA12" t="str">
        <f t="shared" si="5"/>
        <v/>
      </c>
      <c r="AB12" t="str">
        <f t="shared" si="6"/>
        <v/>
      </c>
      <c r="AC12" t="str">
        <f t="shared" si="7"/>
        <v/>
      </c>
    </row>
    <row r="13" spans="1:38" x14ac:dyDescent="0.35">
      <c r="A13" s="1">
        <v>45642</v>
      </c>
      <c r="B13" s="1">
        <v>45643</v>
      </c>
      <c r="C13">
        <v>252277</v>
      </c>
      <c r="D13" t="s">
        <v>65</v>
      </c>
      <c r="E13" t="s">
        <v>28</v>
      </c>
      <c r="F13" t="s">
        <v>71</v>
      </c>
      <c r="G13" t="s">
        <v>16</v>
      </c>
      <c r="H13" t="s">
        <v>69</v>
      </c>
      <c r="I13" t="s">
        <v>18</v>
      </c>
      <c r="J13" t="s">
        <v>26</v>
      </c>
      <c r="K13" t="s">
        <v>122</v>
      </c>
      <c r="M13" t="s">
        <v>131</v>
      </c>
      <c r="T13">
        <f t="shared" si="0"/>
        <v>1</v>
      </c>
      <c r="V13" s="2" t="str">
        <f t="shared" si="9"/>
        <v>Contestation de sanction à l'internat. La famille se désiste en refusant le contradictoire avec le proviseur.&amp;&amp;&amp;&amp;&amp;</v>
      </c>
      <c r="W13">
        <f t="shared" si="1"/>
        <v>1</v>
      </c>
      <c r="X13" t="str">
        <f t="shared" si="2"/>
        <v/>
      </c>
      <c r="Y13" t="str">
        <f t="shared" si="3"/>
        <v/>
      </c>
      <c r="Z13" t="str">
        <f t="shared" si="4"/>
        <v/>
      </c>
      <c r="AA13" t="str">
        <f t="shared" si="5"/>
        <v/>
      </c>
      <c r="AB13" t="str">
        <f t="shared" si="6"/>
        <v/>
      </c>
      <c r="AC13" t="str">
        <f t="shared" si="7"/>
        <v/>
      </c>
    </row>
    <row r="14" spans="1:38" x14ac:dyDescent="0.35">
      <c r="A14" s="1">
        <v>45639</v>
      </c>
      <c r="B14" s="1">
        <v>45639</v>
      </c>
      <c r="C14">
        <v>252168</v>
      </c>
      <c r="D14" t="s">
        <v>78</v>
      </c>
      <c r="E14" t="s">
        <v>28</v>
      </c>
      <c r="F14" t="s">
        <v>66</v>
      </c>
      <c r="G14" t="s">
        <v>16</v>
      </c>
      <c r="H14" t="s">
        <v>89</v>
      </c>
      <c r="I14" t="s">
        <v>18</v>
      </c>
      <c r="J14" t="s">
        <v>60</v>
      </c>
      <c r="M14" t="s">
        <v>134</v>
      </c>
      <c r="T14">
        <f t="shared" si="0"/>
        <v>1</v>
      </c>
      <c r="V14" s="2" t="str">
        <f t="shared" si="9"/>
        <v>Jeune scolarisé dans une institution privée. Exclu par conseil de discipline.  Renvoi de la famille vers directeur diocésain de Valence.&amp;&amp;&amp;&amp;&amp;</v>
      </c>
      <c r="W14">
        <f t="shared" si="1"/>
        <v>1</v>
      </c>
      <c r="X14" t="str">
        <f t="shared" si="2"/>
        <v/>
      </c>
      <c r="Y14" t="str">
        <f t="shared" si="3"/>
        <v/>
      </c>
      <c r="Z14" t="str">
        <f t="shared" si="4"/>
        <v/>
      </c>
      <c r="AA14" t="str">
        <f t="shared" si="5"/>
        <v/>
      </c>
      <c r="AB14" t="str">
        <f t="shared" si="6"/>
        <v/>
      </c>
      <c r="AC14" t="str">
        <f t="shared" si="7"/>
        <v/>
      </c>
    </row>
    <row r="15" spans="1:38" x14ac:dyDescent="0.35">
      <c r="A15" s="1">
        <v>45639</v>
      </c>
      <c r="B15" s="1">
        <v>45642</v>
      </c>
      <c r="C15">
        <v>252209</v>
      </c>
      <c r="D15" t="s">
        <v>78</v>
      </c>
      <c r="E15" t="s">
        <v>14</v>
      </c>
      <c r="F15" t="s">
        <v>90</v>
      </c>
      <c r="G15" t="s">
        <v>16</v>
      </c>
      <c r="H15" t="s">
        <v>132</v>
      </c>
      <c r="I15" t="s">
        <v>43</v>
      </c>
      <c r="J15" t="s">
        <v>19</v>
      </c>
      <c r="M15" t="s">
        <v>135</v>
      </c>
      <c r="T15">
        <f t="shared" si="0"/>
        <v>1</v>
      </c>
      <c r="V15" s="2" t="str">
        <f t="shared" si="9"/>
        <v>Conseil demandé: A qui s'adresser quand un enfant n'a pas son AESH (quotité à 100% du temps scolaire) depuis la rentrée de sept 24? Médiateur fait réponse en incitant la famille à écrire au DASEN74 (mise en demeure)&amp;&amp;&amp;&amp;&amp;</v>
      </c>
      <c r="W15">
        <f t="shared" si="1"/>
        <v>1</v>
      </c>
      <c r="X15" t="str">
        <f t="shared" si="2"/>
        <v/>
      </c>
      <c r="Y15" t="str">
        <f t="shared" si="3"/>
        <v/>
      </c>
      <c r="Z15" t="str">
        <f t="shared" si="4"/>
        <v/>
      </c>
      <c r="AA15" t="str">
        <f t="shared" si="5"/>
        <v/>
      </c>
      <c r="AB15" t="str">
        <f t="shared" si="6"/>
        <v/>
      </c>
      <c r="AC15" t="str">
        <f t="shared" si="7"/>
        <v/>
      </c>
    </row>
    <row r="16" spans="1:38" x14ac:dyDescent="0.35">
      <c r="A16" s="1">
        <v>45638</v>
      </c>
      <c r="B16" s="1">
        <v>45646</v>
      </c>
      <c r="C16">
        <v>252014</v>
      </c>
      <c r="D16" t="s">
        <v>80</v>
      </c>
      <c r="E16" t="s">
        <v>14</v>
      </c>
      <c r="F16" t="s">
        <v>90</v>
      </c>
      <c r="G16" t="s">
        <v>16</v>
      </c>
      <c r="H16" t="s">
        <v>69</v>
      </c>
      <c r="I16" t="s">
        <v>18</v>
      </c>
      <c r="J16" t="s">
        <v>26</v>
      </c>
      <c r="K16" t="s">
        <v>122</v>
      </c>
      <c r="M16" t="s">
        <v>140</v>
      </c>
      <c r="T16">
        <f t="shared" si="0"/>
        <v>1</v>
      </c>
      <c r="V16" s="2" t="str">
        <f t="shared" si="9"/>
        <v>Signalement de différences de traitement injustifié en maternelle. Suite équipe éducative, modification de l'emploi du temps conformément au souhait de la famille qui a demandé la clôture du dossier.&amp;&amp;&amp;&amp;&amp;</v>
      </c>
      <c r="W16">
        <f t="shared" si="1"/>
        <v>1</v>
      </c>
      <c r="X16" t="str">
        <f t="shared" si="2"/>
        <v/>
      </c>
      <c r="Y16" t="str">
        <f t="shared" si="3"/>
        <v/>
      </c>
      <c r="Z16" t="str">
        <f t="shared" si="4"/>
        <v/>
      </c>
      <c r="AA16" t="str">
        <f t="shared" si="5"/>
        <v/>
      </c>
      <c r="AB16" t="str">
        <f t="shared" si="6"/>
        <v/>
      </c>
      <c r="AC16" t="str">
        <f t="shared" si="7"/>
        <v/>
      </c>
    </row>
    <row r="17" spans="1:29" x14ac:dyDescent="0.35">
      <c r="A17" s="1">
        <v>45638</v>
      </c>
      <c r="B17" s="1">
        <v>45645</v>
      </c>
      <c r="C17">
        <v>252381</v>
      </c>
      <c r="D17" t="s">
        <v>98</v>
      </c>
      <c r="E17" t="s">
        <v>32</v>
      </c>
      <c r="F17" t="s">
        <v>105</v>
      </c>
      <c r="G17" t="s">
        <v>16</v>
      </c>
      <c r="H17" t="s">
        <v>89</v>
      </c>
      <c r="I17" t="s">
        <v>18</v>
      </c>
      <c r="J17" t="s">
        <v>26</v>
      </c>
      <c r="K17" t="s">
        <v>57</v>
      </c>
      <c r="M17" t="s">
        <v>142</v>
      </c>
      <c r="T17">
        <f t="shared" si="0"/>
        <v>1</v>
      </c>
      <c r="V17" s="2" t="str">
        <f t="shared" si="9"/>
        <v>comportement élève ayant entrainé la mise en place d'un contrat puis exclusion des 3 enfants de la famille par collège privé - etablissement contacté - dialogue renoué&amp;&amp;&amp;&amp;&amp;</v>
      </c>
      <c r="W17">
        <f t="shared" si="1"/>
        <v>1</v>
      </c>
      <c r="X17" t="str">
        <f t="shared" si="2"/>
        <v/>
      </c>
      <c r="Y17" t="str">
        <f t="shared" si="3"/>
        <v/>
      </c>
      <c r="Z17" t="str">
        <f t="shared" si="4"/>
        <v/>
      </c>
      <c r="AA17" t="str">
        <f t="shared" si="5"/>
        <v/>
      </c>
      <c r="AB17" t="str">
        <f t="shared" si="6"/>
        <v/>
      </c>
      <c r="AC17" t="str">
        <f t="shared" si="7"/>
        <v/>
      </c>
    </row>
    <row r="18" spans="1:29" x14ac:dyDescent="0.35">
      <c r="A18" s="1">
        <v>45638</v>
      </c>
      <c r="B18" s="1">
        <v>45656</v>
      </c>
      <c r="C18">
        <v>2024016505060</v>
      </c>
      <c r="D18" t="s">
        <v>139</v>
      </c>
      <c r="E18" t="s">
        <v>32</v>
      </c>
      <c r="F18" t="s">
        <v>105</v>
      </c>
      <c r="G18" t="s">
        <v>16</v>
      </c>
      <c r="H18" t="s">
        <v>89</v>
      </c>
      <c r="I18" t="s">
        <v>18</v>
      </c>
      <c r="J18" t="s">
        <v>26</v>
      </c>
      <c r="K18" t="s">
        <v>38</v>
      </c>
      <c r="L18" t="s">
        <v>39</v>
      </c>
      <c r="M18" t="s">
        <v>144</v>
      </c>
      <c r="T18">
        <f t="shared" si="0"/>
        <v>1</v>
      </c>
      <c r="V18" s="2" t="str">
        <f t="shared" si="9"/>
        <v>mère se plaignant d'une sanction trop lourde visant son fils. Le dialogue famille/directrice a repris dans le sens de la co-éducation.&amp;&amp;&amp;&amp;&amp;</v>
      </c>
      <c r="W18">
        <f t="shared" si="1"/>
        <v>1</v>
      </c>
      <c r="X18" t="str">
        <f t="shared" si="2"/>
        <v/>
      </c>
      <c r="Y18" t="str">
        <f t="shared" si="3"/>
        <v/>
      </c>
      <c r="Z18" t="str">
        <f t="shared" si="4"/>
        <v/>
      </c>
      <c r="AA18" t="str">
        <f t="shared" si="5"/>
        <v/>
      </c>
      <c r="AB18" t="str">
        <f t="shared" si="6"/>
        <v/>
      </c>
      <c r="AC18" t="str">
        <f t="shared" si="7"/>
        <v/>
      </c>
    </row>
    <row r="19" spans="1:29" x14ac:dyDescent="0.35">
      <c r="A19" s="1">
        <v>45637</v>
      </c>
      <c r="B19" s="1">
        <v>45637</v>
      </c>
      <c r="C19">
        <v>251856</v>
      </c>
      <c r="D19" t="s">
        <v>93</v>
      </c>
      <c r="E19" t="s">
        <v>32</v>
      </c>
      <c r="F19" t="s">
        <v>113</v>
      </c>
      <c r="G19" t="s">
        <v>16</v>
      </c>
      <c r="H19" t="s">
        <v>89</v>
      </c>
      <c r="I19" t="s">
        <v>75</v>
      </c>
      <c r="J19" t="s">
        <v>26</v>
      </c>
      <c r="K19" t="s">
        <v>25</v>
      </c>
      <c r="M19" t="s">
        <v>145</v>
      </c>
      <c r="T19">
        <f t="shared" si="0"/>
        <v>1</v>
      </c>
      <c r="V19" s="2" t="str">
        <f t="shared" si="9"/>
        <v>conflit avec l'établissement privé  à propos  de la discipline : échanges avec la famille et conseils donnés&amp;&amp;&amp;&amp;&amp;</v>
      </c>
      <c r="W19">
        <f t="shared" si="1"/>
        <v>1</v>
      </c>
      <c r="X19" t="str">
        <f t="shared" si="2"/>
        <v/>
      </c>
      <c r="Y19" t="str">
        <f t="shared" si="3"/>
        <v/>
      </c>
      <c r="Z19" t="str">
        <f t="shared" si="4"/>
        <v/>
      </c>
      <c r="AA19" t="str">
        <f t="shared" si="5"/>
        <v/>
      </c>
      <c r="AB19" t="str">
        <f t="shared" si="6"/>
        <v/>
      </c>
      <c r="AC19" t="str">
        <f t="shared" si="7"/>
        <v/>
      </c>
    </row>
    <row r="20" spans="1:29" x14ac:dyDescent="0.35">
      <c r="A20" s="1">
        <v>45637</v>
      </c>
      <c r="B20" s="1">
        <v>45639</v>
      </c>
      <c r="C20">
        <v>251885</v>
      </c>
      <c r="D20" t="s">
        <v>109</v>
      </c>
      <c r="E20" t="s">
        <v>14</v>
      </c>
      <c r="F20" t="s">
        <v>15</v>
      </c>
      <c r="G20" t="s">
        <v>16</v>
      </c>
      <c r="H20" t="s">
        <v>17</v>
      </c>
      <c r="I20" t="s">
        <v>18</v>
      </c>
      <c r="J20" t="s">
        <v>26</v>
      </c>
      <c r="K20" t="s">
        <v>25</v>
      </c>
      <c r="M20" t="s">
        <v>146</v>
      </c>
      <c r="T20">
        <f t="shared" si="0"/>
        <v>1</v>
      </c>
      <c r="U20" t="s">
        <v>328</v>
      </c>
      <c r="V20" s="2" t="str">
        <f t="shared" si="9"/>
        <v>Père d'élève fait état d'un certain nombre de griefs à l'encontre du Directeur de l'école de son fils Courrier transmis à l'IEN qui ne donne pas suite car l'enfant n'est plus scolarisé dans cette école.&amp;&amp;&amp;&amp;&amp;</v>
      </c>
      <c r="W20" t="str">
        <f t="shared" si="1"/>
        <v/>
      </c>
      <c r="X20" t="str">
        <f t="shared" si="2"/>
        <v/>
      </c>
      <c r="Y20" t="str">
        <f t="shared" si="3"/>
        <v/>
      </c>
      <c r="Z20" t="str">
        <f t="shared" si="4"/>
        <v/>
      </c>
      <c r="AA20" t="str">
        <f t="shared" si="5"/>
        <v/>
      </c>
      <c r="AB20" t="str">
        <f t="shared" si="6"/>
        <v/>
      </c>
      <c r="AC20">
        <f t="shared" si="7"/>
        <v>1</v>
      </c>
    </row>
    <row r="21" spans="1:29" x14ac:dyDescent="0.35">
      <c r="A21" s="1">
        <v>45637</v>
      </c>
      <c r="B21" s="1">
        <v>45638</v>
      </c>
      <c r="C21">
        <v>251932</v>
      </c>
      <c r="D21" t="s">
        <v>40</v>
      </c>
      <c r="E21" t="s">
        <v>14</v>
      </c>
      <c r="F21" t="s">
        <v>90</v>
      </c>
      <c r="G21" t="s">
        <v>36</v>
      </c>
      <c r="H21" t="s">
        <v>92</v>
      </c>
      <c r="I21" t="s">
        <v>51</v>
      </c>
      <c r="J21" t="s">
        <v>19</v>
      </c>
      <c r="M21" t="s">
        <v>147</v>
      </c>
      <c r="T21">
        <f t="shared" si="0"/>
        <v>1</v>
      </c>
      <c r="V21" s="2" t="str">
        <f t="shared" si="9"/>
        <v>Famille résidant au Québec Interrogation pour inscription à l'école maternelle lors du retour prévu en France. Courrier avec explications&amp;&amp;&amp;&amp;&amp;</v>
      </c>
      <c r="W21">
        <f t="shared" si="1"/>
        <v>1</v>
      </c>
      <c r="X21" t="str">
        <f t="shared" si="2"/>
        <v/>
      </c>
      <c r="Y21" t="str">
        <f t="shared" si="3"/>
        <v/>
      </c>
      <c r="Z21" t="str">
        <f t="shared" si="4"/>
        <v/>
      </c>
      <c r="AA21" t="str">
        <f t="shared" si="5"/>
        <v/>
      </c>
      <c r="AB21" t="str">
        <f t="shared" si="6"/>
        <v/>
      </c>
      <c r="AC21" t="str">
        <f t="shared" si="7"/>
        <v/>
      </c>
    </row>
    <row r="22" spans="1:29" x14ac:dyDescent="0.35">
      <c r="A22" s="1">
        <v>45637</v>
      </c>
      <c r="B22" s="1">
        <v>45640</v>
      </c>
      <c r="C22">
        <v>252148</v>
      </c>
      <c r="D22" t="s">
        <v>20</v>
      </c>
      <c r="E22" t="s">
        <v>14</v>
      </c>
      <c r="F22" t="s">
        <v>90</v>
      </c>
      <c r="G22" t="s">
        <v>16</v>
      </c>
      <c r="H22" t="s">
        <v>116</v>
      </c>
      <c r="I22" t="s">
        <v>18</v>
      </c>
      <c r="J22" t="s">
        <v>19</v>
      </c>
      <c r="M22" t="s">
        <v>148</v>
      </c>
      <c r="T22">
        <f t="shared" si="0"/>
        <v>1</v>
      </c>
      <c r="U22" t="s">
        <v>328</v>
      </c>
      <c r="V22" s="2" t="str">
        <f t="shared" si="9"/>
        <v>maman qui voudrait que son enfant suive une scolarité à la maison. Motifs pour IEF envoyés à la maman&amp;&amp;&amp;&amp;&amp;</v>
      </c>
      <c r="W22" t="str">
        <f t="shared" si="1"/>
        <v/>
      </c>
      <c r="X22" t="str">
        <f t="shared" si="2"/>
        <v/>
      </c>
      <c r="Y22" t="str">
        <f t="shared" si="3"/>
        <v/>
      </c>
      <c r="Z22">
        <f t="shared" si="4"/>
        <v>1</v>
      </c>
      <c r="AA22" t="str">
        <f t="shared" si="5"/>
        <v/>
      </c>
      <c r="AB22" t="str">
        <f t="shared" si="6"/>
        <v/>
      </c>
      <c r="AC22">
        <f t="shared" si="7"/>
        <v>1</v>
      </c>
    </row>
    <row r="23" spans="1:29" x14ac:dyDescent="0.35">
      <c r="A23" s="1">
        <v>45637</v>
      </c>
      <c r="B23" s="1">
        <v>45642</v>
      </c>
      <c r="C23">
        <v>252263</v>
      </c>
      <c r="D23" t="s">
        <v>20</v>
      </c>
      <c r="E23" t="s">
        <v>28</v>
      </c>
      <c r="F23" t="s">
        <v>55</v>
      </c>
      <c r="G23" t="s">
        <v>16</v>
      </c>
      <c r="H23" t="s">
        <v>89</v>
      </c>
      <c r="I23" t="s">
        <v>18</v>
      </c>
      <c r="J23" t="s">
        <v>26</v>
      </c>
      <c r="K23" t="s">
        <v>25</v>
      </c>
      <c r="M23" t="s">
        <v>149</v>
      </c>
      <c r="T23">
        <f t="shared" si="0"/>
        <v>1</v>
      </c>
      <c r="V23" s="2" t="str">
        <f t="shared" si="9"/>
        <v>La famille conteste la convocation de leur fils devant le conseil de discipline&amp;&amp;&amp;&amp;&amp;</v>
      </c>
      <c r="W23">
        <f t="shared" si="1"/>
        <v>1</v>
      </c>
      <c r="X23" t="str">
        <f t="shared" si="2"/>
        <v/>
      </c>
      <c r="Y23" t="str">
        <f t="shared" si="3"/>
        <v/>
      </c>
      <c r="Z23" t="str">
        <f t="shared" si="4"/>
        <v/>
      </c>
      <c r="AA23" t="str">
        <f t="shared" si="5"/>
        <v/>
      </c>
      <c r="AB23" t="str">
        <f t="shared" si="6"/>
        <v/>
      </c>
      <c r="AC23" t="str">
        <f t="shared" si="7"/>
        <v/>
      </c>
    </row>
    <row r="24" spans="1:29" x14ac:dyDescent="0.35">
      <c r="A24" s="1">
        <v>45637</v>
      </c>
      <c r="B24" s="1">
        <v>45637</v>
      </c>
      <c r="C24">
        <v>252398</v>
      </c>
      <c r="D24" t="s">
        <v>95</v>
      </c>
      <c r="E24" t="s">
        <v>14</v>
      </c>
      <c r="F24" t="s">
        <v>90</v>
      </c>
      <c r="G24" t="s">
        <v>16</v>
      </c>
      <c r="H24" t="s">
        <v>118</v>
      </c>
      <c r="I24" t="s">
        <v>143</v>
      </c>
      <c r="J24" t="s">
        <v>60</v>
      </c>
      <c r="M24" t="s">
        <v>150</v>
      </c>
      <c r="T24">
        <f t="shared" si="0"/>
        <v>1</v>
      </c>
      <c r="V24" s="2" t="str">
        <f t="shared" si="9"/>
        <v>Conteste le placement de sa fille en ASE du conseil départemental. demande un repli dans une famille d'accueil&amp;&amp;&amp;&amp;&amp;</v>
      </c>
      <c r="W24">
        <f t="shared" si="1"/>
        <v>1</v>
      </c>
      <c r="X24" t="str">
        <f t="shared" si="2"/>
        <v/>
      </c>
      <c r="Y24" t="str">
        <f t="shared" si="3"/>
        <v/>
      </c>
      <c r="Z24" t="str">
        <f t="shared" si="4"/>
        <v/>
      </c>
      <c r="AA24" t="str">
        <f t="shared" si="5"/>
        <v/>
      </c>
      <c r="AB24" t="str">
        <f t="shared" si="6"/>
        <v/>
      </c>
      <c r="AC24" t="str">
        <f t="shared" si="7"/>
        <v/>
      </c>
    </row>
    <row r="25" spans="1:29" x14ac:dyDescent="0.35">
      <c r="A25" s="1">
        <v>45637</v>
      </c>
      <c r="B25" s="1">
        <v>45644</v>
      </c>
      <c r="C25">
        <v>2024016505500</v>
      </c>
      <c r="D25" t="s">
        <v>139</v>
      </c>
      <c r="E25" t="s">
        <v>32</v>
      </c>
      <c r="F25" t="s">
        <v>113</v>
      </c>
      <c r="G25" t="s">
        <v>16</v>
      </c>
      <c r="H25" t="s">
        <v>17</v>
      </c>
      <c r="I25" t="s">
        <v>18</v>
      </c>
      <c r="J25" t="s">
        <v>19</v>
      </c>
      <c r="M25" t="s">
        <v>151</v>
      </c>
      <c r="T25">
        <f t="shared" si="0"/>
        <v>1</v>
      </c>
      <c r="V25" s="2" t="str">
        <f t="shared" si="9"/>
        <v>parents inquiets pour enfant de maternelle (geste de tirer l'oreille supposé par la maitresse). dialogue non rompu entre famille, enseignante et direction d'école.&amp;&amp;&amp;&amp;&amp;</v>
      </c>
      <c r="W25">
        <f t="shared" si="1"/>
        <v>1</v>
      </c>
      <c r="X25" t="str">
        <f t="shared" si="2"/>
        <v/>
      </c>
      <c r="Y25" t="str">
        <f t="shared" si="3"/>
        <v/>
      </c>
      <c r="Z25" t="str">
        <f t="shared" si="4"/>
        <v/>
      </c>
      <c r="AA25" t="str">
        <f t="shared" si="5"/>
        <v/>
      </c>
      <c r="AB25" t="str">
        <f t="shared" si="6"/>
        <v/>
      </c>
      <c r="AC25" t="str">
        <f t="shared" si="7"/>
        <v/>
      </c>
    </row>
    <row r="26" spans="1:29" x14ac:dyDescent="0.35">
      <c r="A26" s="1">
        <v>45636</v>
      </c>
      <c r="B26" s="1">
        <v>45643</v>
      </c>
      <c r="C26">
        <v>251761</v>
      </c>
      <c r="D26" t="s">
        <v>98</v>
      </c>
      <c r="E26" t="s">
        <v>28</v>
      </c>
      <c r="F26" t="s">
        <v>74</v>
      </c>
      <c r="G26" t="s">
        <v>16</v>
      </c>
      <c r="H26" t="s">
        <v>89</v>
      </c>
      <c r="I26" t="s">
        <v>18</v>
      </c>
      <c r="J26" t="s">
        <v>26</v>
      </c>
      <c r="K26" t="s">
        <v>57</v>
      </c>
      <c r="M26" t="s">
        <v>153</v>
      </c>
      <c r="T26">
        <f t="shared" si="0"/>
        <v>1</v>
      </c>
      <c r="V26" s="2" t="str">
        <f t="shared" si="9"/>
        <v>demande de changement de collège par une famille dont le fils a un comportement inadapté - collège et DEE contactés&amp;&amp;&amp;&amp;&amp;</v>
      </c>
      <c r="W26">
        <f t="shared" si="1"/>
        <v>1</v>
      </c>
      <c r="X26" t="str">
        <f t="shared" si="2"/>
        <v/>
      </c>
      <c r="Y26" t="str">
        <f t="shared" si="3"/>
        <v/>
      </c>
      <c r="Z26" t="str">
        <f t="shared" si="4"/>
        <v/>
      </c>
      <c r="AA26" t="str">
        <f t="shared" si="5"/>
        <v/>
      </c>
      <c r="AB26" t="str">
        <f t="shared" si="6"/>
        <v/>
      </c>
      <c r="AC26" t="str">
        <f t="shared" si="7"/>
        <v/>
      </c>
    </row>
    <row r="27" spans="1:29" x14ac:dyDescent="0.35">
      <c r="A27" s="1">
        <v>45636</v>
      </c>
      <c r="B27" s="1">
        <v>45637</v>
      </c>
      <c r="C27">
        <v>251806</v>
      </c>
      <c r="D27" t="s">
        <v>93</v>
      </c>
      <c r="E27" t="s">
        <v>14</v>
      </c>
      <c r="F27" t="s">
        <v>90</v>
      </c>
      <c r="G27" t="s">
        <v>16</v>
      </c>
      <c r="H27" t="s">
        <v>17</v>
      </c>
      <c r="I27" t="s">
        <v>75</v>
      </c>
      <c r="J27" t="s">
        <v>19</v>
      </c>
      <c r="M27" t="s">
        <v>154</v>
      </c>
      <c r="T27">
        <f t="shared" si="0"/>
        <v>1</v>
      </c>
      <c r="V27" s="2" t="str">
        <f t="shared" si="9"/>
        <v>souhaite joindre l'inspection pour dénoncer  des faits de la professeure : échange avec la famille et adresses données&amp;&amp;&amp;&amp;&amp;</v>
      </c>
      <c r="W27">
        <f t="shared" si="1"/>
        <v>1</v>
      </c>
      <c r="X27" t="str">
        <f t="shared" si="2"/>
        <v/>
      </c>
      <c r="Y27" t="str">
        <f t="shared" si="3"/>
        <v/>
      </c>
      <c r="Z27" t="str">
        <f t="shared" si="4"/>
        <v/>
      </c>
      <c r="AA27" t="str">
        <f t="shared" si="5"/>
        <v/>
      </c>
      <c r="AB27" t="str">
        <f t="shared" si="6"/>
        <v/>
      </c>
      <c r="AC27" t="str">
        <f t="shared" si="7"/>
        <v/>
      </c>
    </row>
    <row r="28" spans="1:29" x14ac:dyDescent="0.35">
      <c r="A28" s="1">
        <v>45636</v>
      </c>
      <c r="B28" s="1">
        <v>45636</v>
      </c>
      <c r="C28">
        <v>251844</v>
      </c>
      <c r="D28" t="s">
        <v>20</v>
      </c>
      <c r="E28" t="s">
        <v>14</v>
      </c>
      <c r="F28" t="s">
        <v>15</v>
      </c>
      <c r="G28" t="s">
        <v>16</v>
      </c>
      <c r="H28" t="s">
        <v>69</v>
      </c>
      <c r="I28" t="s">
        <v>18</v>
      </c>
      <c r="J28" t="s">
        <v>26</v>
      </c>
      <c r="K28" t="s">
        <v>25</v>
      </c>
      <c r="M28" t="s">
        <v>155</v>
      </c>
      <c r="T28">
        <f t="shared" si="0"/>
        <v>1</v>
      </c>
      <c r="V28" s="2" t="str">
        <f t="shared" si="9"/>
        <v>enseignante remplaçante sur un congé long est affectée sur une autre mission. Famille demande son maintien. Médiation en copie. AR&amp;&amp;&amp;&amp;&amp;</v>
      </c>
      <c r="W28">
        <f t="shared" si="1"/>
        <v>1</v>
      </c>
      <c r="X28" t="str">
        <f t="shared" si="2"/>
        <v/>
      </c>
      <c r="Y28" t="str">
        <f t="shared" si="3"/>
        <v/>
      </c>
      <c r="Z28" t="str">
        <f t="shared" si="4"/>
        <v/>
      </c>
      <c r="AA28" t="str">
        <f t="shared" si="5"/>
        <v/>
      </c>
      <c r="AB28" t="str">
        <f t="shared" si="6"/>
        <v/>
      </c>
      <c r="AC28" t="str">
        <f t="shared" si="7"/>
        <v/>
      </c>
    </row>
    <row r="29" spans="1:29" x14ac:dyDescent="0.35">
      <c r="A29" s="1">
        <v>45636</v>
      </c>
      <c r="B29" s="1">
        <v>45638</v>
      </c>
      <c r="C29">
        <v>251848</v>
      </c>
      <c r="D29" t="s">
        <v>80</v>
      </c>
      <c r="E29" t="s">
        <v>32</v>
      </c>
      <c r="F29" t="s">
        <v>113</v>
      </c>
      <c r="G29" t="s">
        <v>16</v>
      </c>
      <c r="H29" t="s">
        <v>118</v>
      </c>
      <c r="I29" t="s">
        <v>75</v>
      </c>
      <c r="J29" t="s">
        <v>60</v>
      </c>
      <c r="M29" t="s">
        <v>156</v>
      </c>
      <c r="T29">
        <f t="shared" si="0"/>
        <v>1</v>
      </c>
      <c r="V29" s="2" t="str">
        <f t="shared" si="9"/>
        <v>Signale non retour de l'enfant au domicile de la mère par le père .Conflit intra familial, la situation relève du JAF, voire d'une plainte auprès des services de police ou procureur. Req informée&amp;&amp;&amp;&amp;&amp;</v>
      </c>
      <c r="W29" t="str">
        <f t="shared" si="1"/>
        <v/>
      </c>
      <c r="X29" t="str">
        <f t="shared" si="2"/>
        <v/>
      </c>
      <c r="Y29">
        <f t="shared" si="3"/>
        <v>1</v>
      </c>
      <c r="Z29" t="str">
        <f t="shared" si="4"/>
        <v/>
      </c>
      <c r="AA29" t="str">
        <f t="shared" si="5"/>
        <v/>
      </c>
      <c r="AB29" t="str">
        <f t="shared" si="6"/>
        <v/>
      </c>
      <c r="AC29" t="str">
        <f t="shared" si="7"/>
        <v/>
      </c>
    </row>
    <row r="30" spans="1:29" x14ac:dyDescent="0.35">
      <c r="A30" s="1">
        <v>45636</v>
      </c>
      <c r="B30" s="1">
        <v>45638</v>
      </c>
      <c r="C30">
        <v>251871</v>
      </c>
      <c r="D30" t="s">
        <v>80</v>
      </c>
      <c r="E30" t="s">
        <v>32</v>
      </c>
      <c r="F30" t="s">
        <v>50</v>
      </c>
      <c r="G30" t="s">
        <v>36</v>
      </c>
      <c r="H30" t="s">
        <v>37</v>
      </c>
      <c r="I30" t="s">
        <v>75</v>
      </c>
      <c r="J30" t="s">
        <v>26</v>
      </c>
      <c r="K30" t="s">
        <v>25</v>
      </c>
      <c r="M30" t="s">
        <v>157</v>
      </c>
      <c r="T30">
        <f t="shared" si="0"/>
        <v>1</v>
      </c>
      <c r="U30" t="s">
        <v>328</v>
      </c>
      <c r="V30" s="2" t="str">
        <f t="shared" si="9"/>
        <v>Déclaration de désobéissance civile après refus IEF confirmé par TA, adressée en copie au médiateur. Classement en attente éventuelle saisine ultérieure.&amp;&amp;&amp;&amp;&amp;</v>
      </c>
      <c r="W30" t="str">
        <f t="shared" si="1"/>
        <v/>
      </c>
      <c r="X30" t="str">
        <f t="shared" si="2"/>
        <v/>
      </c>
      <c r="Y30" t="str">
        <f t="shared" si="3"/>
        <v/>
      </c>
      <c r="Z30" t="str">
        <f t="shared" si="4"/>
        <v/>
      </c>
      <c r="AA30" t="str">
        <f t="shared" si="5"/>
        <v/>
      </c>
      <c r="AB30" t="str">
        <f t="shared" si="6"/>
        <v/>
      </c>
      <c r="AC30">
        <f t="shared" si="7"/>
        <v>1</v>
      </c>
    </row>
    <row r="31" spans="1:29" x14ac:dyDescent="0.35">
      <c r="A31" s="1">
        <v>45636</v>
      </c>
      <c r="B31" s="1">
        <v>45653</v>
      </c>
      <c r="C31">
        <v>251877</v>
      </c>
      <c r="D31" t="s">
        <v>35</v>
      </c>
      <c r="E31" t="s">
        <v>21</v>
      </c>
      <c r="F31" t="s">
        <v>50</v>
      </c>
      <c r="G31" t="s">
        <v>23</v>
      </c>
      <c r="H31" t="s">
        <v>87</v>
      </c>
      <c r="I31" t="s">
        <v>18</v>
      </c>
      <c r="J31" t="s">
        <v>26</v>
      </c>
      <c r="K31" t="s">
        <v>38</v>
      </c>
      <c r="L31" t="s">
        <v>39</v>
      </c>
      <c r="M31" t="s">
        <v>158</v>
      </c>
      <c r="T31">
        <f t="shared" si="0"/>
        <v>1</v>
      </c>
      <c r="V31" s="2" t="str">
        <f t="shared" si="9"/>
        <v>UOSUP Conc. Vanves : Ins. CNED 23-24 au concours du CAPEPS interne : l'inscrit aurait saisi le Médiateur par LRAR le 08.07 et par courriel le 13.08.24 : n'aurait pas reçu de réponse. Demande si dossier en cours d'instruction à la Médiation.&amp;&amp;&amp;&amp;&amp;</v>
      </c>
      <c r="W31" t="str">
        <f t="shared" si="1"/>
        <v/>
      </c>
      <c r="X31">
        <f t="shared" si="2"/>
        <v>1</v>
      </c>
      <c r="Y31" t="str">
        <f t="shared" si="3"/>
        <v/>
      </c>
      <c r="Z31" t="str">
        <f t="shared" si="4"/>
        <v/>
      </c>
      <c r="AA31" t="str">
        <f t="shared" si="5"/>
        <v/>
      </c>
      <c r="AB31" t="str">
        <f t="shared" si="6"/>
        <v/>
      </c>
      <c r="AC31" t="str">
        <f t="shared" si="7"/>
        <v/>
      </c>
    </row>
    <row r="32" spans="1:29" x14ac:dyDescent="0.35">
      <c r="A32" s="1">
        <v>45636</v>
      </c>
      <c r="B32" s="1">
        <v>45636</v>
      </c>
      <c r="C32">
        <v>251880</v>
      </c>
      <c r="D32" t="s">
        <v>119</v>
      </c>
      <c r="E32" t="s">
        <v>28</v>
      </c>
      <c r="F32" t="s">
        <v>55</v>
      </c>
      <c r="G32" t="s">
        <v>16</v>
      </c>
      <c r="H32" t="s">
        <v>89</v>
      </c>
      <c r="I32" t="s">
        <v>18</v>
      </c>
      <c r="J32" t="s">
        <v>19</v>
      </c>
      <c r="M32" t="s">
        <v>159</v>
      </c>
      <c r="T32">
        <f t="shared" si="0"/>
        <v>1</v>
      </c>
      <c r="V32" s="2" t="str">
        <f t="shared" si="9"/>
        <v>SLB Demande conseils pour gestion famille très contestataire. Entretien tél ayant pour base le courrier qui a déjà été adressé à la famille.&amp;&amp;&amp;&amp;&amp;</v>
      </c>
      <c r="W32">
        <f t="shared" si="1"/>
        <v>1</v>
      </c>
      <c r="X32" t="str">
        <f t="shared" si="2"/>
        <v/>
      </c>
      <c r="Y32" t="str">
        <f t="shared" si="3"/>
        <v/>
      </c>
      <c r="Z32" t="str">
        <f t="shared" si="4"/>
        <v/>
      </c>
      <c r="AA32" t="str">
        <f t="shared" si="5"/>
        <v/>
      </c>
      <c r="AB32" t="str">
        <f t="shared" si="6"/>
        <v/>
      </c>
      <c r="AC32" t="str">
        <f t="shared" si="7"/>
        <v/>
      </c>
    </row>
    <row r="33" spans="1:29" x14ac:dyDescent="0.35">
      <c r="A33" s="1">
        <v>45636</v>
      </c>
      <c r="B33" s="1">
        <v>45656</v>
      </c>
      <c r="C33">
        <v>252056</v>
      </c>
      <c r="D33" t="s">
        <v>73</v>
      </c>
      <c r="E33" t="s">
        <v>28</v>
      </c>
      <c r="F33" t="s">
        <v>117</v>
      </c>
      <c r="G33" t="s">
        <v>16</v>
      </c>
      <c r="H33" t="s">
        <v>79</v>
      </c>
      <c r="I33" t="s">
        <v>61</v>
      </c>
      <c r="J33" t="s">
        <v>26</v>
      </c>
      <c r="K33" t="s">
        <v>25</v>
      </c>
      <c r="M33" t="s">
        <v>160</v>
      </c>
      <c r="T33">
        <f t="shared" si="0"/>
        <v>1</v>
      </c>
      <c r="V33" s="2" t="str">
        <f t="shared" si="9"/>
        <v>Elève qui se dit harcelée. Mais réalité autre car élève qui a des soucis depuis des années ( dépression/difficultés relationnelles. Point fait avec la famille qui accepte mes arguments&amp;&amp;&amp;&amp;&amp;</v>
      </c>
      <c r="W33">
        <f t="shared" si="1"/>
        <v>1</v>
      </c>
      <c r="X33" t="str">
        <f t="shared" si="2"/>
        <v/>
      </c>
      <c r="Y33" t="str">
        <f t="shared" si="3"/>
        <v/>
      </c>
      <c r="Z33" t="str">
        <f t="shared" si="4"/>
        <v/>
      </c>
      <c r="AA33" t="str">
        <f t="shared" si="5"/>
        <v/>
      </c>
      <c r="AB33" t="str">
        <f t="shared" si="6"/>
        <v/>
      </c>
      <c r="AC33" t="str">
        <f t="shared" si="7"/>
        <v/>
      </c>
    </row>
    <row r="34" spans="1:29" x14ac:dyDescent="0.35">
      <c r="A34" s="1">
        <v>45636</v>
      </c>
      <c r="B34" s="1">
        <v>45646</v>
      </c>
      <c r="C34">
        <v>2024016462110</v>
      </c>
      <c r="D34" t="s">
        <v>78</v>
      </c>
      <c r="E34" t="s">
        <v>28</v>
      </c>
      <c r="F34" t="s">
        <v>47</v>
      </c>
      <c r="G34" t="s">
        <v>16</v>
      </c>
      <c r="H34" t="s">
        <v>89</v>
      </c>
      <c r="I34" t="s">
        <v>18</v>
      </c>
      <c r="J34" t="s">
        <v>19</v>
      </c>
      <c r="M34" t="s">
        <v>161</v>
      </c>
      <c r="T34">
        <f t="shared" ref="T34:T65" si="11">IF(SUM(W34:AC34)&gt;0,1,"")</f>
        <v>1</v>
      </c>
      <c r="V34" s="2" t="str">
        <f t="shared" si="9"/>
        <v>Conteste l'exclusion définitive du fils suite au CD. Le médiateur explique à la famille que l'appel se fait auprès de la rectrice et non auprès du médiateur. Appel est fait dans les règles par la famille&amp;&amp;&amp;&amp;&amp;</v>
      </c>
      <c r="W34">
        <f t="shared" si="1"/>
        <v>1</v>
      </c>
      <c r="X34" t="str">
        <f t="shared" si="2"/>
        <v/>
      </c>
      <c r="Y34" t="str">
        <f t="shared" si="3"/>
        <v/>
      </c>
      <c r="Z34" t="str">
        <f t="shared" si="4"/>
        <v/>
      </c>
      <c r="AA34" t="str">
        <f t="shared" si="5"/>
        <v/>
      </c>
      <c r="AB34" t="str">
        <f t="shared" si="6"/>
        <v/>
      </c>
      <c r="AC34" t="str">
        <f t="shared" si="7"/>
        <v/>
      </c>
    </row>
    <row r="35" spans="1:29" x14ac:dyDescent="0.35">
      <c r="A35" s="1">
        <v>45636</v>
      </c>
      <c r="B35" s="1">
        <v>45647</v>
      </c>
      <c r="C35">
        <v>2024016463435</v>
      </c>
      <c r="D35" t="s">
        <v>13</v>
      </c>
      <c r="E35" t="s">
        <v>14</v>
      </c>
      <c r="F35" t="s">
        <v>90</v>
      </c>
      <c r="G35" t="s">
        <v>16</v>
      </c>
      <c r="H35" t="s">
        <v>116</v>
      </c>
      <c r="I35" t="s">
        <v>18</v>
      </c>
      <c r="J35" t="s">
        <v>19</v>
      </c>
      <c r="M35" t="s">
        <v>162</v>
      </c>
      <c r="T35">
        <f t="shared" si="11"/>
        <v>1</v>
      </c>
      <c r="V35" s="2" t="str">
        <f t="shared" si="9"/>
        <v>maman me demande si elle peut garder sa fille  scolarisée en maternelle à la maison pour la sieste l'après midi&amp;&amp;&amp;&amp;&amp;</v>
      </c>
      <c r="W35" t="str">
        <f t="shared" si="1"/>
        <v/>
      </c>
      <c r="X35" t="str">
        <f t="shared" si="2"/>
        <v/>
      </c>
      <c r="Y35" t="str">
        <f t="shared" si="3"/>
        <v/>
      </c>
      <c r="Z35">
        <f t="shared" si="4"/>
        <v>1</v>
      </c>
      <c r="AA35" t="str">
        <f t="shared" si="5"/>
        <v/>
      </c>
      <c r="AB35" t="str">
        <f t="shared" si="6"/>
        <v/>
      </c>
      <c r="AC35" t="str">
        <f t="shared" si="7"/>
        <v/>
      </c>
    </row>
    <row r="36" spans="1:29" x14ac:dyDescent="0.35">
      <c r="A36" s="1">
        <v>45635</v>
      </c>
      <c r="B36" s="1">
        <v>45637</v>
      </c>
      <c r="C36">
        <v>251846</v>
      </c>
      <c r="D36" t="s">
        <v>97</v>
      </c>
      <c r="E36" t="s">
        <v>28</v>
      </c>
      <c r="F36" t="s">
        <v>47</v>
      </c>
      <c r="G36" t="s">
        <v>16</v>
      </c>
      <c r="H36" t="s">
        <v>89</v>
      </c>
      <c r="I36" t="s">
        <v>18</v>
      </c>
      <c r="J36" t="s">
        <v>26</v>
      </c>
      <c r="K36" t="s">
        <v>72</v>
      </c>
      <c r="M36" t="s">
        <v>163</v>
      </c>
      <c r="T36">
        <f t="shared" si="11"/>
        <v>1</v>
      </c>
      <c r="V36" s="2" t="str">
        <f t="shared" si="9"/>
        <v>VH La famille conteste des heures de retenue infligées à l'élève pour défaut de vaccin&amp;&amp;&amp;&amp;&amp;</v>
      </c>
      <c r="W36">
        <f t="shared" si="1"/>
        <v>1</v>
      </c>
      <c r="X36" t="str">
        <f t="shared" si="2"/>
        <v/>
      </c>
      <c r="Y36" t="str">
        <f t="shared" si="3"/>
        <v/>
      </c>
      <c r="Z36" t="str">
        <f t="shared" si="4"/>
        <v/>
      </c>
      <c r="AA36" t="str">
        <f t="shared" si="5"/>
        <v/>
      </c>
      <c r="AB36" t="str">
        <f t="shared" si="6"/>
        <v/>
      </c>
      <c r="AC36" t="str">
        <f t="shared" si="7"/>
        <v/>
      </c>
    </row>
    <row r="37" spans="1:29" x14ac:dyDescent="0.35">
      <c r="A37" s="1">
        <v>45632</v>
      </c>
      <c r="B37" s="1">
        <v>45632</v>
      </c>
      <c r="C37">
        <v>251559</v>
      </c>
      <c r="D37" t="s">
        <v>27</v>
      </c>
      <c r="E37" t="s">
        <v>28</v>
      </c>
      <c r="F37" t="s">
        <v>55</v>
      </c>
      <c r="G37" t="s">
        <v>16</v>
      </c>
      <c r="H37" t="s">
        <v>116</v>
      </c>
      <c r="I37" t="s">
        <v>18</v>
      </c>
      <c r="J37" t="s">
        <v>19</v>
      </c>
      <c r="M37" t="s">
        <v>164</v>
      </c>
      <c r="T37">
        <f t="shared" si="11"/>
        <v>1</v>
      </c>
      <c r="V37" s="2" t="str">
        <f t="shared" si="9"/>
        <v>Elève ayant subi une opération de l'intestin importante et qui n'a pas été scolarisé de l'année. La mère appréhende un retour à une scolarité ordinaire et demande le maintien à domicile. Orientée vers DASEN et médecin scolaire&amp;&amp;&amp;&amp;&amp;</v>
      </c>
      <c r="W37" t="str">
        <f t="shared" si="1"/>
        <v/>
      </c>
      <c r="X37" t="str">
        <f t="shared" si="2"/>
        <v/>
      </c>
      <c r="Y37">
        <f t="shared" si="3"/>
        <v>1</v>
      </c>
      <c r="Z37" t="str">
        <f t="shared" si="4"/>
        <v/>
      </c>
      <c r="AA37" t="str">
        <f t="shared" si="5"/>
        <v/>
      </c>
      <c r="AB37" t="str">
        <f t="shared" si="6"/>
        <v/>
      </c>
      <c r="AC37" t="str">
        <f t="shared" si="7"/>
        <v/>
      </c>
    </row>
    <row r="38" spans="1:29" x14ac:dyDescent="0.35">
      <c r="A38" s="1">
        <v>45632</v>
      </c>
      <c r="B38" s="1">
        <v>45639</v>
      </c>
      <c r="C38">
        <v>251638</v>
      </c>
      <c r="D38" t="s">
        <v>40</v>
      </c>
      <c r="E38" t="s">
        <v>28</v>
      </c>
      <c r="F38" t="s">
        <v>44</v>
      </c>
      <c r="G38" t="s">
        <v>41</v>
      </c>
      <c r="H38" t="s">
        <v>54</v>
      </c>
      <c r="I38" t="s">
        <v>18</v>
      </c>
      <c r="J38" t="s">
        <v>19</v>
      </c>
      <c r="M38" t="s">
        <v>165</v>
      </c>
      <c r="T38">
        <f t="shared" si="11"/>
        <v>1</v>
      </c>
      <c r="V38" s="2" t="str">
        <f t="shared" si="9"/>
        <v xml:space="preserve">  date d'inscription au baccalauréat à distance MEDIA : oriente sur SIEC et informe&amp;&amp;&amp;&amp;&amp;</v>
      </c>
      <c r="W38" t="str">
        <f t="shared" si="1"/>
        <v/>
      </c>
      <c r="X38" t="str">
        <f t="shared" si="2"/>
        <v/>
      </c>
      <c r="Y38" t="str">
        <f t="shared" si="3"/>
        <v/>
      </c>
      <c r="Z38" t="str">
        <f t="shared" si="4"/>
        <v/>
      </c>
      <c r="AA38">
        <f t="shared" si="5"/>
        <v>1</v>
      </c>
      <c r="AB38" t="str">
        <f t="shared" si="6"/>
        <v/>
      </c>
      <c r="AC38" t="str">
        <f t="shared" si="7"/>
        <v/>
      </c>
    </row>
    <row r="39" spans="1:29" x14ac:dyDescent="0.35">
      <c r="A39" s="1">
        <v>45632</v>
      </c>
      <c r="B39" s="1">
        <v>45638</v>
      </c>
      <c r="C39">
        <v>251650</v>
      </c>
      <c r="D39" t="s">
        <v>82</v>
      </c>
      <c r="E39" t="s">
        <v>14</v>
      </c>
      <c r="F39" t="s">
        <v>15</v>
      </c>
      <c r="G39" t="s">
        <v>16</v>
      </c>
      <c r="H39" t="s">
        <v>132</v>
      </c>
      <c r="I39" t="s">
        <v>43</v>
      </c>
      <c r="J39" t="s">
        <v>26</v>
      </c>
      <c r="K39" t="s">
        <v>38</v>
      </c>
      <c r="L39" t="s">
        <v>39</v>
      </c>
      <c r="M39" t="s">
        <v>166</v>
      </c>
      <c r="T39">
        <f t="shared" si="11"/>
        <v>1</v>
      </c>
      <c r="V39" s="2" t="str">
        <f t="shared" si="9"/>
        <v>Troubles du langage oral et écrit, bénéficie AESH 24h, mais 6h lui ont été enlevées pour réallocation autres élèves. A la demande de l'IEN AESH, dossier transféré pour instruction à l'IEN AVS de secteur&amp;&amp;&amp;&amp;&amp;</v>
      </c>
      <c r="W39" t="str">
        <f t="shared" si="1"/>
        <v/>
      </c>
      <c r="X39">
        <f t="shared" si="2"/>
        <v>1</v>
      </c>
      <c r="Y39" t="str">
        <f t="shared" si="3"/>
        <v/>
      </c>
      <c r="Z39" t="str">
        <f t="shared" si="4"/>
        <v/>
      </c>
      <c r="AA39" t="str">
        <f t="shared" si="5"/>
        <v/>
      </c>
      <c r="AB39" t="str">
        <f t="shared" si="6"/>
        <v/>
      </c>
      <c r="AC39" t="str">
        <f t="shared" si="7"/>
        <v/>
      </c>
    </row>
    <row r="40" spans="1:29" x14ac:dyDescent="0.35">
      <c r="A40" s="1">
        <v>45632</v>
      </c>
      <c r="B40" s="1">
        <v>45642</v>
      </c>
      <c r="C40">
        <v>252253</v>
      </c>
      <c r="D40" t="s">
        <v>35</v>
      </c>
      <c r="E40" t="s">
        <v>28</v>
      </c>
      <c r="F40" t="s">
        <v>88</v>
      </c>
      <c r="G40" t="s">
        <v>36</v>
      </c>
      <c r="H40" t="s">
        <v>37</v>
      </c>
      <c r="I40" t="s">
        <v>18</v>
      </c>
      <c r="J40" t="s">
        <v>26</v>
      </c>
      <c r="K40" t="s">
        <v>38</v>
      </c>
      <c r="L40" t="s">
        <v>39</v>
      </c>
      <c r="M40" t="s">
        <v>167</v>
      </c>
      <c r="T40">
        <f t="shared" si="11"/>
        <v>1</v>
      </c>
      <c r="V40" s="2" t="str">
        <f t="shared" si="9"/>
        <v>UOCOL : famille vivant en Nouvelle calédonie : dem. ins. au CNED pour 23-24 Hémisphère Sud non pris en compte. Demande d'information pour ins. au CNED pour 25 en 6ème.&amp;&amp;&amp;&amp;&amp;</v>
      </c>
      <c r="W40">
        <f t="shared" si="1"/>
        <v>1</v>
      </c>
      <c r="X40" t="str">
        <f t="shared" si="2"/>
        <v/>
      </c>
      <c r="Y40" t="str">
        <f t="shared" si="3"/>
        <v/>
      </c>
      <c r="Z40" t="str">
        <f t="shared" si="4"/>
        <v/>
      </c>
      <c r="AA40" t="str">
        <f t="shared" si="5"/>
        <v/>
      </c>
      <c r="AB40" t="str">
        <f t="shared" si="6"/>
        <v/>
      </c>
      <c r="AC40" t="str">
        <f t="shared" si="7"/>
        <v/>
      </c>
    </row>
    <row r="41" spans="1:29" x14ac:dyDescent="0.35">
      <c r="A41" s="1">
        <v>45632</v>
      </c>
      <c r="B41" s="1">
        <v>45644</v>
      </c>
      <c r="C41">
        <v>2024016491455</v>
      </c>
      <c r="D41" t="s">
        <v>20</v>
      </c>
      <c r="E41" t="s">
        <v>14</v>
      </c>
      <c r="F41" t="s">
        <v>15</v>
      </c>
      <c r="G41" t="s">
        <v>16</v>
      </c>
      <c r="H41" t="s">
        <v>69</v>
      </c>
      <c r="I41" t="s">
        <v>75</v>
      </c>
      <c r="J41" t="s">
        <v>60</v>
      </c>
      <c r="M41" t="s">
        <v>168</v>
      </c>
      <c r="T41">
        <f t="shared" si="11"/>
        <v>1</v>
      </c>
      <c r="V41" s="2" t="str">
        <f t="shared" si="9"/>
        <v>inquiétude sur situation de violence contre son fils. Mme a déposé plainte contre famille concernée. Info donnée sur médiation impossible dans ce cas &amp;&amp;&amp;&amp;&amp;</v>
      </c>
      <c r="W41">
        <f t="shared" si="1"/>
        <v>1</v>
      </c>
      <c r="X41" t="str">
        <f t="shared" si="2"/>
        <v/>
      </c>
      <c r="Y41" t="str">
        <f t="shared" si="3"/>
        <v/>
      </c>
      <c r="Z41" t="str">
        <f t="shared" si="4"/>
        <v/>
      </c>
      <c r="AA41" t="str">
        <f t="shared" si="5"/>
        <v/>
      </c>
      <c r="AB41" t="str">
        <f t="shared" si="6"/>
        <v/>
      </c>
      <c r="AC41" t="str">
        <f t="shared" si="7"/>
        <v/>
      </c>
    </row>
    <row r="42" spans="1:29" x14ac:dyDescent="0.35">
      <c r="A42" s="1">
        <v>45631</v>
      </c>
      <c r="B42" s="1">
        <v>45638</v>
      </c>
      <c r="C42">
        <v>251652</v>
      </c>
      <c r="D42" t="s">
        <v>82</v>
      </c>
      <c r="E42" t="s">
        <v>14</v>
      </c>
      <c r="F42" t="s">
        <v>15</v>
      </c>
      <c r="G42" t="s">
        <v>16</v>
      </c>
      <c r="H42" t="s">
        <v>132</v>
      </c>
      <c r="I42" t="s">
        <v>18</v>
      </c>
      <c r="J42" t="s">
        <v>26</v>
      </c>
      <c r="K42" t="s">
        <v>38</v>
      </c>
      <c r="L42" t="s">
        <v>39</v>
      </c>
      <c r="M42" t="s">
        <v>169</v>
      </c>
      <c r="T42">
        <f t="shared" si="11"/>
        <v>1</v>
      </c>
      <c r="V42" s="2" t="str">
        <f t="shared" si="9"/>
        <v>Autiste non verbal, en ULIS. AESH absente. Peut être violent, cherche une place en IME en attente depuis 3 ans, accueilli 1 jour 1/2 par semaine. IEN AESH a demandé le transfert pour instruction à l'IEN AVS de secteur&amp;&amp;&amp;&amp;&amp;</v>
      </c>
      <c r="W42" t="str">
        <f t="shared" si="1"/>
        <v/>
      </c>
      <c r="X42">
        <f t="shared" si="2"/>
        <v>1</v>
      </c>
      <c r="Y42" t="str">
        <f t="shared" si="3"/>
        <v/>
      </c>
      <c r="Z42" t="str">
        <f t="shared" si="4"/>
        <v/>
      </c>
      <c r="AA42" t="str">
        <f t="shared" si="5"/>
        <v/>
      </c>
      <c r="AB42" t="str">
        <f t="shared" si="6"/>
        <v/>
      </c>
      <c r="AC42" t="str">
        <f t="shared" si="7"/>
        <v/>
      </c>
    </row>
    <row r="43" spans="1:29" x14ac:dyDescent="0.35">
      <c r="A43" s="1">
        <v>45631</v>
      </c>
      <c r="B43" s="1">
        <v>45638</v>
      </c>
      <c r="C43">
        <v>251668</v>
      </c>
      <c r="D43" t="s">
        <v>82</v>
      </c>
      <c r="E43" t="s">
        <v>14</v>
      </c>
      <c r="F43" t="s">
        <v>15</v>
      </c>
      <c r="G43" t="s">
        <v>16</v>
      </c>
      <c r="H43" t="s">
        <v>132</v>
      </c>
      <c r="I43" t="s">
        <v>43</v>
      </c>
      <c r="J43" t="s">
        <v>26</v>
      </c>
      <c r="K43" t="s">
        <v>38</v>
      </c>
      <c r="L43" t="s">
        <v>39</v>
      </c>
      <c r="M43" t="s">
        <v>170</v>
      </c>
      <c r="T43">
        <f t="shared" si="11"/>
        <v>1</v>
      </c>
      <c r="V43" s="2" t="str">
        <f t="shared" si="9"/>
        <v>AESH notifiée pour 24h par la MDA, mais aucune n'a été affectée à l'élève. A la demande de l'IEN AESH, dossier transféré pour instruction à l'IEN AVS de secteur&amp;&amp;&amp;&amp;&amp;</v>
      </c>
      <c r="W43" t="str">
        <f t="shared" si="1"/>
        <v/>
      </c>
      <c r="X43">
        <f t="shared" si="2"/>
        <v>1</v>
      </c>
      <c r="Y43" t="str">
        <f t="shared" si="3"/>
        <v/>
      </c>
      <c r="Z43" t="str">
        <f t="shared" si="4"/>
        <v/>
      </c>
      <c r="AA43" t="str">
        <f t="shared" si="5"/>
        <v/>
      </c>
      <c r="AB43" t="str">
        <f t="shared" si="6"/>
        <v/>
      </c>
      <c r="AC43" t="str">
        <f t="shared" si="7"/>
        <v/>
      </c>
    </row>
    <row r="44" spans="1:29" x14ac:dyDescent="0.35">
      <c r="A44" s="1">
        <v>45631</v>
      </c>
      <c r="B44" s="1">
        <v>45631</v>
      </c>
      <c r="C44">
        <v>251814</v>
      </c>
      <c r="D44" t="s">
        <v>63</v>
      </c>
      <c r="E44" t="s">
        <v>28</v>
      </c>
      <c r="F44" t="s">
        <v>66</v>
      </c>
      <c r="G44" t="s">
        <v>16</v>
      </c>
      <c r="H44" t="s">
        <v>132</v>
      </c>
      <c r="I44" t="s">
        <v>129</v>
      </c>
      <c r="J44" t="s">
        <v>26</v>
      </c>
      <c r="K44" t="s">
        <v>72</v>
      </c>
      <c r="M44" t="s">
        <v>171</v>
      </c>
      <c r="T44">
        <f t="shared" si="11"/>
        <v>1</v>
      </c>
      <c r="V44" s="2" t="str">
        <f t="shared" si="9"/>
        <v>Absence d'un AESH maîtrisant la LSF dans une ULIS pour élèves sourds. la situation est connue. la Rectorat adressera une réponse à la famille.&amp;&amp;&amp;&amp;&amp;</v>
      </c>
      <c r="W44">
        <f t="shared" si="1"/>
        <v>1</v>
      </c>
      <c r="X44" t="str">
        <f t="shared" si="2"/>
        <v/>
      </c>
      <c r="Y44" t="str">
        <f t="shared" si="3"/>
        <v/>
      </c>
      <c r="Z44" t="str">
        <f t="shared" si="4"/>
        <v/>
      </c>
      <c r="AA44" t="str">
        <f t="shared" si="5"/>
        <v/>
      </c>
      <c r="AB44" t="str">
        <f t="shared" si="6"/>
        <v/>
      </c>
      <c r="AC44" t="str">
        <f t="shared" si="7"/>
        <v/>
      </c>
    </row>
    <row r="45" spans="1:29" x14ac:dyDescent="0.35">
      <c r="A45" s="1">
        <v>45631</v>
      </c>
      <c r="B45" s="1">
        <v>45631</v>
      </c>
      <c r="C45">
        <v>251815</v>
      </c>
      <c r="D45" t="s">
        <v>63</v>
      </c>
      <c r="E45" t="s">
        <v>28</v>
      </c>
      <c r="F45" t="s">
        <v>66</v>
      </c>
      <c r="G45" t="s">
        <v>16</v>
      </c>
      <c r="H45" t="s">
        <v>132</v>
      </c>
      <c r="I45" t="s">
        <v>129</v>
      </c>
      <c r="J45" t="s">
        <v>26</v>
      </c>
      <c r="K45" t="s">
        <v>72</v>
      </c>
      <c r="M45" t="s">
        <v>172</v>
      </c>
      <c r="T45">
        <f t="shared" si="11"/>
        <v>1</v>
      </c>
      <c r="V45" s="2" t="str">
        <f t="shared" si="9"/>
        <v>Absence d'un AESH maîtrisant la LSF dans une ULIS pour élèves sourds. la situation est connue. Le Rectorat adressera une réponse à la famille.&amp;&amp;&amp;&amp;&amp;</v>
      </c>
      <c r="W45">
        <f t="shared" si="1"/>
        <v>1</v>
      </c>
      <c r="X45" t="str">
        <f t="shared" si="2"/>
        <v/>
      </c>
      <c r="Y45" t="str">
        <f t="shared" si="3"/>
        <v/>
      </c>
      <c r="Z45" t="str">
        <f t="shared" si="4"/>
        <v/>
      </c>
      <c r="AA45" t="str">
        <f t="shared" si="5"/>
        <v/>
      </c>
      <c r="AB45" t="str">
        <f t="shared" si="6"/>
        <v/>
      </c>
      <c r="AC45" t="str">
        <f t="shared" si="7"/>
        <v/>
      </c>
    </row>
    <row r="46" spans="1:29" x14ac:dyDescent="0.35">
      <c r="A46" s="1">
        <v>45631</v>
      </c>
      <c r="B46" s="1">
        <v>45636</v>
      </c>
      <c r="C46">
        <v>252165</v>
      </c>
      <c r="D46" t="s">
        <v>78</v>
      </c>
      <c r="E46" t="s">
        <v>14</v>
      </c>
      <c r="F46" t="s">
        <v>15</v>
      </c>
      <c r="G46" t="s">
        <v>16</v>
      </c>
      <c r="H46" t="s">
        <v>69</v>
      </c>
      <c r="I46" t="s">
        <v>18</v>
      </c>
      <c r="J46" t="s">
        <v>26</v>
      </c>
      <c r="K46" t="s">
        <v>38</v>
      </c>
      <c r="L46" t="s">
        <v>81</v>
      </c>
      <c r="M46" t="s">
        <v>173</v>
      </c>
      <c r="T46">
        <f t="shared" si="11"/>
        <v>1</v>
      </c>
      <c r="V46" s="2" t="str">
        <f t="shared" si="9"/>
        <v>Problème du suivi du PAI de l'enfant au sein de l'école. Le médiateur contacte l'IEN circo qui se charge de contacter l'école et la famille.&amp;&amp;&amp;&amp;&amp;</v>
      </c>
      <c r="W46">
        <f t="shared" si="1"/>
        <v>1</v>
      </c>
      <c r="X46" t="str">
        <f t="shared" si="2"/>
        <v/>
      </c>
      <c r="Y46" t="str">
        <f t="shared" si="3"/>
        <v/>
      </c>
      <c r="Z46" t="str">
        <f t="shared" si="4"/>
        <v/>
      </c>
      <c r="AA46" t="str">
        <f t="shared" si="5"/>
        <v/>
      </c>
      <c r="AB46" t="str">
        <f t="shared" si="6"/>
        <v/>
      </c>
      <c r="AC46" t="str">
        <f t="shared" si="7"/>
        <v/>
      </c>
    </row>
    <row r="47" spans="1:29" x14ac:dyDescent="0.35">
      <c r="A47" s="1">
        <v>45631</v>
      </c>
      <c r="B47" s="1">
        <v>45631</v>
      </c>
      <c r="C47">
        <v>252166</v>
      </c>
      <c r="D47" t="s">
        <v>78</v>
      </c>
      <c r="E47" t="s">
        <v>28</v>
      </c>
      <c r="F47" t="s">
        <v>44</v>
      </c>
      <c r="G47" t="s">
        <v>16</v>
      </c>
      <c r="H47" t="s">
        <v>89</v>
      </c>
      <c r="I47" t="s">
        <v>18</v>
      </c>
      <c r="J47" t="s">
        <v>60</v>
      </c>
      <c r="M47" t="s">
        <v>174</v>
      </c>
      <c r="T47">
        <f t="shared" si="11"/>
        <v>1</v>
      </c>
      <c r="V47" s="2" t="str">
        <f t="shared" si="9"/>
        <v>Souhait de la famille de faire appel  de la décision d'exclusion définitive prononcée par le CD du lycée doit être présenté devant la rectrice.&amp;&amp;&amp;&amp;&amp;</v>
      </c>
      <c r="W47">
        <f t="shared" si="1"/>
        <v>1</v>
      </c>
      <c r="X47" t="str">
        <f t="shared" si="2"/>
        <v/>
      </c>
      <c r="Y47" t="str">
        <f t="shared" si="3"/>
        <v/>
      </c>
      <c r="Z47" t="str">
        <f t="shared" si="4"/>
        <v/>
      </c>
      <c r="AA47" t="str">
        <f t="shared" si="5"/>
        <v/>
      </c>
      <c r="AB47" t="str">
        <f t="shared" si="6"/>
        <v/>
      </c>
      <c r="AC47" t="str">
        <f t="shared" si="7"/>
        <v/>
      </c>
    </row>
    <row r="48" spans="1:29" x14ac:dyDescent="0.35">
      <c r="A48" s="1">
        <v>45630</v>
      </c>
      <c r="B48" s="1">
        <v>45639</v>
      </c>
      <c r="C48">
        <v>251374</v>
      </c>
      <c r="D48" t="s">
        <v>120</v>
      </c>
      <c r="E48" t="s">
        <v>28</v>
      </c>
      <c r="F48" t="s">
        <v>71</v>
      </c>
      <c r="G48" t="s">
        <v>16</v>
      </c>
      <c r="H48" t="s">
        <v>89</v>
      </c>
      <c r="I48" t="s">
        <v>75</v>
      </c>
      <c r="J48" t="s">
        <v>26</v>
      </c>
      <c r="K48" t="s">
        <v>25</v>
      </c>
      <c r="M48" t="s">
        <v>175</v>
      </c>
      <c r="T48">
        <f t="shared" si="11"/>
        <v>1</v>
      </c>
      <c r="V48" s="2" t="str">
        <f t="shared" si="9"/>
        <v>Contestation d'une décision d'exclusion définitive Famille de l'élève aurait une preuve de l'innocence Renvoi vers commission d'appel&amp;&amp;&amp;&amp;&amp;</v>
      </c>
      <c r="W48">
        <f t="shared" si="1"/>
        <v>1</v>
      </c>
      <c r="X48" t="str">
        <f t="shared" si="2"/>
        <v/>
      </c>
      <c r="Y48" t="str">
        <f t="shared" si="3"/>
        <v/>
      </c>
      <c r="Z48" t="str">
        <f t="shared" si="4"/>
        <v/>
      </c>
      <c r="AA48" t="str">
        <f t="shared" si="5"/>
        <v/>
      </c>
      <c r="AB48" t="str">
        <f t="shared" si="6"/>
        <v/>
      </c>
      <c r="AC48" t="str">
        <f t="shared" si="7"/>
        <v/>
      </c>
    </row>
    <row r="49" spans="1:29" x14ac:dyDescent="0.35">
      <c r="A49" s="1">
        <v>45630</v>
      </c>
      <c r="B49" s="1">
        <v>45635</v>
      </c>
      <c r="C49">
        <v>251376</v>
      </c>
      <c r="D49" t="s">
        <v>97</v>
      </c>
      <c r="E49" t="s">
        <v>28</v>
      </c>
      <c r="F49" t="s">
        <v>71</v>
      </c>
      <c r="G49" t="s">
        <v>23</v>
      </c>
      <c r="H49" t="s">
        <v>56</v>
      </c>
      <c r="I49" t="s">
        <v>18</v>
      </c>
      <c r="J49" t="s">
        <v>26</v>
      </c>
      <c r="K49" t="s">
        <v>38</v>
      </c>
      <c r="L49" t="s">
        <v>81</v>
      </c>
      <c r="M49" t="s">
        <v>329</v>
      </c>
      <c r="T49">
        <f t="shared" si="11"/>
        <v>1</v>
      </c>
      <c r="V49" s="2" t="str">
        <f t="shared" si="9"/>
        <v>Procédure d'attribution de bourse ralentie par la nécessité d'obtenir l'attestation d'une personne qui n'a rien à voir avec la famille de l'élève. &amp;&amp;&amp;&amp;&amp;</v>
      </c>
      <c r="W49">
        <f t="shared" si="1"/>
        <v>1</v>
      </c>
      <c r="X49" t="str">
        <f t="shared" si="2"/>
        <v/>
      </c>
      <c r="Y49" t="str">
        <f t="shared" si="3"/>
        <v/>
      </c>
      <c r="Z49" t="str">
        <f t="shared" si="4"/>
        <v/>
      </c>
      <c r="AA49" t="str">
        <f t="shared" si="5"/>
        <v/>
      </c>
      <c r="AB49" t="str">
        <f t="shared" si="6"/>
        <v/>
      </c>
      <c r="AC49" t="str">
        <f t="shared" si="7"/>
        <v/>
      </c>
    </row>
    <row r="50" spans="1:29" x14ac:dyDescent="0.35">
      <c r="A50" s="1">
        <v>45630</v>
      </c>
      <c r="B50" s="1">
        <v>45650</v>
      </c>
      <c r="C50">
        <v>251421</v>
      </c>
      <c r="D50" t="s">
        <v>97</v>
      </c>
      <c r="E50" t="s">
        <v>14</v>
      </c>
      <c r="F50" t="s">
        <v>15</v>
      </c>
      <c r="G50" t="s">
        <v>16</v>
      </c>
      <c r="H50" t="s">
        <v>17</v>
      </c>
      <c r="I50" t="s">
        <v>18</v>
      </c>
      <c r="J50" t="s">
        <v>26</v>
      </c>
      <c r="K50" t="s">
        <v>122</v>
      </c>
      <c r="M50" t="s">
        <v>330</v>
      </c>
      <c r="T50">
        <f t="shared" si="11"/>
        <v>1</v>
      </c>
      <c r="V50" s="2" t="str">
        <f t="shared" si="9"/>
        <v>La parent d'élève accuse la directrice de l'établissement de proférer des propos calomnieux qui porteraient préjudices aux familles et élèves.&amp;&amp;&amp;&amp;&amp;</v>
      </c>
      <c r="W50">
        <f t="shared" si="1"/>
        <v>1</v>
      </c>
      <c r="X50" t="str">
        <f t="shared" si="2"/>
        <v/>
      </c>
      <c r="Y50" t="str">
        <f t="shared" si="3"/>
        <v/>
      </c>
      <c r="Z50" t="str">
        <f t="shared" si="4"/>
        <v/>
      </c>
      <c r="AA50" t="str">
        <f t="shared" si="5"/>
        <v/>
      </c>
      <c r="AB50" t="str">
        <f t="shared" si="6"/>
        <v/>
      </c>
      <c r="AC50" t="str">
        <f t="shared" si="7"/>
        <v/>
      </c>
    </row>
    <row r="51" spans="1:29" x14ac:dyDescent="0.35">
      <c r="A51" s="1">
        <v>45630</v>
      </c>
      <c r="B51" s="1">
        <v>45642</v>
      </c>
      <c r="C51">
        <v>251432</v>
      </c>
      <c r="D51" t="s">
        <v>109</v>
      </c>
      <c r="E51" t="s">
        <v>28</v>
      </c>
      <c r="F51" t="s">
        <v>117</v>
      </c>
      <c r="G51" t="s">
        <v>36</v>
      </c>
      <c r="H51" t="s">
        <v>70</v>
      </c>
      <c r="I51" t="s">
        <v>18</v>
      </c>
      <c r="J51" t="s">
        <v>26</v>
      </c>
      <c r="K51" t="s">
        <v>38</v>
      </c>
      <c r="L51" t="s">
        <v>81</v>
      </c>
      <c r="M51" t="s">
        <v>176</v>
      </c>
      <c r="T51">
        <f t="shared" si="11"/>
        <v>1</v>
      </c>
      <c r="V51" s="2" t="str">
        <f t="shared" si="9"/>
        <v>Famille demande 2e changement d'affectation de l'année scolaire en 2nde GT Avis défavorable des 2 Chefs d'établissement. Famille recherche places vacantes en section Pro&amp;&amp;&amp;&amp;&amp;</v>
      </c>
      <c r="W51">
        <f t="shared" si="1"/>
        <v>1</v>
      </c>
      <c r="X51" t="str">
        <f t="shared" si="2"/>
        <v/>
      </c>
      <c r="Y51" t="str">
        <f t="shared" si="3"/>
        <v/>
      </c>
      <c r="Z51" t="str">
        <f t="shared" si="4"/>
        <v/>
      </c>
      <c r="AA51" t="str">
        <f t="shared" si="5"/>
        <v/>
      </c>
      <c r="AB51" t="str">
        <f t="shared" si="6"/>
        <v/>
      </c>
      <c r="AC51" t="str">
        <f t="shared" si="7"/>
        <v/>
      </c>
    </row>
    <row r="52" spans="1:29" x14ac:dyDescent="0.35">
      <c r="A52" s="1">
        <v>45630</v>
      </c>
      <c r="B52" s="1">
        <v>45632</v>
      </c>
      <c r="C52">
        <v>251549</v>
      </c>
      <c r="D52" t="s">
        <v>31</v>
      </c>
      <c r="E52" t="s">
        <v>104</v>
      </c>
      <c r="F52" t="s">
        <v>152</v>
      </c>
      <c r="G52" t="s">
        <v>99</v>
      </c>
      <c r="H52" t="s">
        <v>177</v>
      </c>
      <c r="I52" t="s">
        <v>18</v>
      </c>
      <c r="J52" t="s">
        <v>19</v>
      </c>
      <c r="M52" t="s">
        <v>178</v>
      </c>
      <c r="T52">
        <f t="shared" si="11"/>
        <v>1</v>
      </c>
      <c r="V52" s="2" t="str">
        <f t="shared" si="9"/>
        <v>Gestionnaire rectorat en détachemt autre administration a dû quiiter domicile suite événemt familial. Partie ds famille à Toulouse. demande aide pour régulariser situ. Conseils&amp;&amp;&amp;&amp;&amp;</v>
      </c>
      <c r="W52">
        <f t="shared" si="1"/>
        <v>1</v>
      </c>
      <c r="X52" t="str">
        <f t="shared" si="2"/>
        <v/>
      </c>
      <c r="Y52">
        <f t="shared" si="3"/>
        <v>1</v>
      </c>
      <c r="Z52" t="str">
        <f t="shared" si="4"/>
        <v/>
      </c>
      <c r="AA52" t="str">
        <f t="shared" si="5"/>
        <v/>
      </c>
      <c r="AB52" t="str">
        <f t="shared" si="6"/>
        <v/>
      </c>
      <c r="AC52" t="str">
        <f t="shared" si="7"/>
        <v/>
      </c>
    </row>
    <row r="53" spans="1:29" x14ac:dyDescent="0.35">
      <c r="A53" s="1">
        <v>45630</v>
      </c>
      <c r="B53" s="1">
        <v>45638</v>
      </c>
      <c r="C53">
        <v>251661</v>
      </c>
      <c r="D53" t="s">
        <v>82</v>
      </c>
      <c r="E53" t="s">
        <v>14</v>
      </c>
      <c r="F53" t="s">
        <v>15</v>
      </c>
      <c r="G53" t="s">
        <v>16</v>
      </c>
      <c r="H53" t="s">
        <v>132</v>
      </c>
      <c r="I53" t="s">
        <v>43</v>
      </c>
      <c r="J53" t="s">
        <v>26</v>
      </c>
      <c r="K53" t="s">
        <v>38</v>
      </c>
      <c r="L53" t="s">
        <v>39</v>
      </c>
      <c r="M53" t="s">
        <v>179</v>
      </c>
      <c r="T53">
        <f t="shared" si="11"/>
        <v>1</v>
      </c>
      <c r="V53" s="2" t="str">
        <f t="shared" si="9"/>
        <v>AESH 12h individuel et 12h mutualisées. Envoyée 12h ds autre école pour 4 semaines et plus. A la demande de l'IEN AESH, le dossier est transmis pour instruction à l'IEN AVS de secteur.&amp;&amp;&amp;&amp;&amp;</v>
      </c>
      <c r="W53" t="str">
        <f t="shared" si="1"/>
        <v/>
      </c>
      <c r="X53">
        <f t="shared" si="2"/>
        <v>1</v>
      </c>
      <c r="Y53" t="str">
        <f t="shared" si="3"/>
        <v/>
      </c>
      <c r="Z53" t="str">
        <f t="shared" si="4"/>
        <v/>
      </c>
      <c r="AA53" t="str">
        <f t="shared" si="5"/>
        <v/>
      </c>
      <c r="AB53" t="str">
        <f t="shared" si="6"/>
        <v/>
      </c>
      <c r="AC53" t="str">
        <f t="shared" si="7"/>
        <v/>
      </c>
    </row>
    <row r="54" spans="1:29" x14ac:dyDescent="0.35">
      <c r="A54" s="1">
        <v>45630</v>
      </c>
      <c r="B54" s="1">
        <v>45631</v>
      </c>
      <c r="C54">
        <v>252167</v>
      </c>
      <c r="D54" t="s">
        <v>78</v>
      </c>
      <c r="E54" t="s">
        <v>14</v>
      </c>
      <c r="F54" t="s">
        <v>15</v>
      </c>
      <c r="G54" t="s">
        <v>16</v>
      </c>
      <c r="H54" t="s">
        <v>17</v>
      </c>
      <c r="I54" t="s">
        <v>18</v>
      </c>
      <c r="J54" t="s">
        <v>26</v>
      </c>
      <c r="K54" t="s">
        <v>38</v>
      </c>
      <c r="L54" t="s">
        <v>81</v>
      </c>
      <c r="M54" t="s">
        <v>180</v>
      </c>
      <c r="T54">
        <f t="shared" si="11"/>
        <v>1</v>
      </c>
      <c r="V54" s="2" t="str">
        <f t="shared" si="9"/>
        <v>Mère mécontente qu'une sortie (dangereuse!) sur un chantier ait été organisée par l'école. Médiateur contacte l'IEN de circo qui enquête et répond à la famille.&amp;&amp;&amp;&amp;&amp;</v>
      </c>
      <c r="W54">
        <f t="shared" si="1"/>
        <v>1</v>
      </c>
      <c r="X54" t="str">
        <f t="shared" si="2"/>
        <v/>
      </c>
      <c r="Y54" t="str">
        <f t="shared" si="3"/>
        <v/>
      </c>
      <c r="Z54" t="str">
        <f t="shared" si="4"/>
        <v/>
      </c>
      <c r="AA54" t="str">
        <f t="shared" si="5"/>
        <v/>
      </c>
      <c r="AB54" t="str">
        <f t="shared" si="6"/>
        <v/>
      </c>
      <c r="AC54" t="str">
        <f t="shared" si="7"/>
        <v/>
      </c>
    </row>
    <row r="55" spans="1:29" x14ac:dyDescent="0.35">
      <c r="A55" s="1">
        <v>45629</v>
      </c>
      <c r="B55" s="1">
        <v>45643</v>
      </c>
      <c r="C55">
        <v>251301</v>
      </c>
      <c r="D55" t="s">
        <v>93</v>
      </c>
      <c r="E55" t="s">
        <v>28</v>
      </c>
      <c r="F55" t="s">
        <v>55</v>
      </c>
      <c r="G55" t="s">
        <v>36</v>
      </c>
      <c r="H55" t="s">
        <v>67</v>
      </c>
      <c r="I55" t="s">
        <v>18</v>
      </c>
      <c r="J55" t="s">
        <v>26</v>
      </c>
      <c r="K55" t="s">
        <v>38</v>
      </c>
      <c r="L55" t="s">
        <v>39</v>
      </c>
      <c r="M55" t="s">
        <v>181</v>
      </c>
      <c r="T55">
        <f t="shared" si="11"/>
        <v>1</v>
      </c>
      <c r="V55" s="2" t="str">
        <f t="shared" si="9"/>
        <v>a passé les tests pour passer du privé HC au public, aucun retour depuis septembre- notif envoyée le 17 oct, famille dit pas reçue, place perdue au clg, va être réaffecté&amp;&amp;&amp;&amp;&amp;</v>
      </c>
      <c r="W55">
        <f t="shared" si="1"/>
        <v>1</v>
      </c>
      <c r="X55" t="str">
        <f t="shared" si="2"/>
        <v/>
      </c>
      <c r="Y55" t="str">
        <f t="shared" si="3"/>
        <v/>
      </c>
      <c r="Z55" t="str">
        <f t="shared" si="4"/>
        <v/>
      </c>
      <c r="AA55" t="str">
        <f t="shared" si="5"/>
        <v/>
      </c>
      <c r="AB55" t="str">
        <f t="shared" si="6"/>
        <v/>
      </c>
      <c r="AC55" t="str">
        <f t="shared" si="7"/>
        <v/>
      </c>
    </row>
    <row r="56" spans="1:29" x14ac:dyDescent="0.35">
      <c r="A56" s="1">
        <v>45629</v>
      </c>
      <c r="B56" s="1">
        <v>45636</v>
      </c>
      <c r="C56">
        <v>251307</v>
      </c>
      <c r="D56" t="s">
        <v>13</v>
      </c>
      <c r="E56" t="s">
        <v>28</v>
      </c>
      <c r="F56" t="s">
        <v>47</v>
      </c>
      <c r="G56" t="s">
        <v>16</v>
      </c>
      <c r="H56" s="3" t="s">
        <v>182</v>
      </c>
      <c r="I56" t="s">
        <v>18</v>
      </c>
      <c r="J56" t="s">
        <v>19</v>
      </c>
      <c r="M56" t="s">
        <v>183</v>
      </c>
      <c r="T56">
        <f t="shared" si="11"/>
        <v>1</v>
      </c>
      <c r="U56" t="s">
        <v>328</v>
      </c>
      <c r="V56" s="2" t="str">
        <f t="shared" si="9"/>
        <v>Ne supportez plus l'enseignement au LP voudrait savoir comment faire l'instruction à domicile. Pas évident avec un enseignement professionnel, conseille voir avec le CIO&amp;&amp;&amp;&amp;&amp;</v>
      </c>
      <c r="W56" t="str">
        <f t="shared" si="1"/>
        <v/>
      </c>
      <c r="X56">
        <f t="shared" si="2"/>
        <v>1</v>
      </c>
      <c r="Y56">
        <f t="shared" si="3"/>
        <v>1</v>
      </c>
      <c r="Z56" t="str">
        <f t="shared" si="4"/>
        <v/>
      </c>
      <c r="AA56" t="str">
        <f t="shared" si="5"/>
        <v/>
      </c>
      <c r="AB56" t="str">
        <f t="shared" si="6"/>
        <v/>
      </c>
      <c r="AC56" t="str">
        <f t="shared" si="7"/>
        <v/>
      </c>
    </row>
    <row r="57" spans="1:29" x14ac:dyDescent="0.35">
      <c r="A57" s="1">
        <v>45629</v>
      </c>
      <c r="B57" s="1">
        <v>45645</v>
      </c>
      <c r="C57">
        <v>251342</v>
      </c>
      <c r="D57" t="s">
        <v>97</v>
      </c>
      <c r="E57" t="s">
        <v>28</v>
      </c>
      <c r="F57" t="s">
        <v>55</v>
      </c>
      <c r="G57" t="s">
        <v>16</v>
      </c>
      <c r="H57" t="s">
        <v>132</v>
      </c>
      <c r="I57" t="s">
        <v>43</v>
      </c>
      <c r="J57" t="s">
        <v>26</v>
      </c>
      <c r="K57" t="s">
        <v>38</v>
      </c>
      <c r="L57" t="s">
        <v>81</v>
      </c>
      <c r="M57" t="s">
        <v>184</v>
      </c>
      <c r="T57">
        <f t="shared" si="11"/>
        <v>1</v>
      </c>
      <c r="V57" s="2" t="str">
        <f t="shared" si="9"/>
        <v>Enfants scolarisés dans le même collège. Relation très complexe avec la famille avec exaspération et réactions inadaptées de part et d'autre. Médiation en présentiel.&amp;&amp;&amp;&amp;&amp;</v>
      </c>
      <c r="W57">
        <f t="shared" si="1"/>
        <v>1</v>
      </c>
      <c r="X57" t="str">
        <f t="shared" si="2"/>
        <v/>
      </c>
      <c r="Y57" t="str">
        <f t="shared" si="3"/>
        <v/>
      </c>
      <c r="Z57" t="str">
        <f t="shared" si="4"/>
        <v/>
      </c>
      <c r="AA57" t="str">
        <f t="shared" si="5"/>
        <v/>
      </c>
      <c r="AB57" t="str">
        <f t="shared" si="6"/>
        <v/>
      </c>
      <c r="AC57" t="str">
        <f t="shared" si="7"/>
        <v/>
      </c>
    </row>
    <row r="58" spans="1:29" x14ac:dyDescent="0.35">
      <c r="A58" s="1">
        <v>45629</v>
      </c>
      <c r="B58" s="1">
        <v>45630</v>
      </c>
      <c r="C58">
        <v>251344</v>
      </c>
      <c r="D58" t="s">
        <v>97</v>
      </c>
      <c r="E58" t="s">
        <v>28</v>
      </c>
      <c r="F58" t="s">
        <v>55</v>
      </c>
      <c r="G58" t="s">
        <v>16</v>
      </c>
      <c r="H58" t="s">
        <v>79</v>
      </c>
      <c r="I58" t="s">
        <v>61</v>
      </c>
      <c r="J58" t="s">
        <v>26</v>
      </c>
      <c r="K58" t="s">
        <v>25</v>
      </c>
      <c r="M58" t="s">
        <v>185</v>
      </c>
      <c r="N58" t="s">
        <v>352</v>
      </c>
      <c r="T58">
        <f t="shared" si="11"/>
        <v>1</v>
      </c>
      <c r="V58" s="2" t="str">
        <f t="shared" si="9"/>
        <v>JV - élève harcelée via les réseaux sociaux et au sein de l'établissement, exclue à plusieurs reprises en raison de réactions agressives &amp; la famille est en panne de dialogue avec les équipes et souhaite de l'aide car xx ne veut plus aller en cours&amp;&amp;&amp;&amp;</v>
      </c>
      <c r="W58">
        <f t="shared" si="1"/>
        <v>1</v>
      </c>
      <c r="X58" t="str">
        <f t="shared" si="2"/>
        <v/>
      </c>
      <c r="Y58" t="str">
        <f t="shared" si="3"/>
        <v/>
      </c>
      <c r="Z58" t="str">
        <f t="shared" si="4"/>
        <v/>
      </c>
      <c r="AA58" t="str">
        <f t="shared" si="5"/>
        <v/>
      </c>
      <c r="AB58" t="str">
        <f t="shared" si="6"/>
        <v/>
      </c>
      <c r="AC58" t="str">
        <f t="shared" si="7"/>
        <v/>
      </c>
    </row>
    <row r="59" spans="1:29" x14ac:dyDescent="0.35">
      <c r="A59" s="1">
        <v>45629</v>
      </c>
      <c r="B59" s="1">
        <v>45635</v>
      </c>
      <c r="C59">
        <v>251349</v>
      </c>
      <c r="D59" t="s">
        <v>97</v>
      </c>
      <c r="E59" t="s">
        <v>14</v>
      </c>
      <c r="F59" t="s">
        <v>15</v>
      </c>
      <c r="G59" t="s">
        <v>16</v>
      </c>
      <c r="H59" t="s">
        <v>79</v>
      </c>
      <c r="I59" t="s">
        <v>75</v>
      </c>
      <c r="J59" t="s">
        <v>26</v>
      </c>
      <c r="K59" t="s">
        <v>38</v>
      </c>
      <c r="L59" t="s">
        <v>81</v>
      </c>
      <c r="M59" t="s">
        <v>186</v>
      </c>
      <c r="N59" t="s">
        <v>187</v>
      </c>
      <c r="T59">
        <f t="shared" si="11"/>
        <v>1</v>
      </c>
      <c r="V59" s="2" t="str">
        <f t="shared" si="9"/>
        <v>VH - situation de harcèlement non prise en compte par l'école &amp; la famille a demandé une dérogation pour extraire l'élève de cette situation mais souhaite une enquête&amp;&amp;&amp;&amp;</v>
      </c>
      <c r="W59">
        <f t="shared" si="1"/>
        <v>1</v>
      </c>
      <c r="X59" t="str">
        <f t="shared" si="2"/>
        <v/>
      </c>
      <c r="Y59" t="str">
        <f t="shared" si="3"/>
        <v/>
      </c>
      <c r="Z59" t="str">
        <f t="shared" si="4"/>
        <v/>
      </c>
      <c r="AA59" t="str">
        <f t="shared" si="5"/>
        <v/>
      </c>
      <c r="AB59" t="str">
        <f t="shared" si="6"/>
        <v/>
      </c>
      <c r="AC59" t="str">
        <f t="shared" si="7"/>
        <v/>
      </c>
    </row>
    <row r="60" spans="1:29" x14ac:dyDescent="0.35">
      <c r="A60" s="1">
        <v>45629</v>
      </c>
      <c r="B60" s="1">
        <v>45632</v>
      </c>
      <c r="C60">
        <v>251351</v>
      </c>
      <c r="D60" t="s">
        <v>80</v>
      </c>
      <c r="E60" t="s">
        <v>32</v>
      </c>
      <c r="F60" t="s">
        <v>113</v>
      </c>
      <c r="G60" t="s">
        <v>16</v>
      </c>
      <c r="H60" t="s">
        <v>69</v>
      </c>
      <c r="I60" t="s">
        <v>18</v>
      </c>
      <c r="J60" t="s">
        <v>19</v>
      </c>
      <c r="M60" t="s">
        <v>188</v>
      </c>
      <c r="T60">
        <f t="shared" si="11"/>
        <v>1</v>
      </c>
      <c r="V60" s="2" t="str">
        <f t="shared" si="9"/>
        <v>Demande conseil sur possibilité de refuser une punition, plusieurs étant prévues et acceptées sauf excuses publiques suite vol matériel pédagogique (rendu par famille). Père craint "mise au ban" par les autres élèves. Echange tél vu urgence &amp;&amp;&amp;&amp;&amp;</v>
      </c>
      <c r="W60">
        <f t="shared" si="1"/>
        <v>1</v>
      </c>
      <c r="X60" t="str">
        <f t="shared" si="2"/>
        <v/>
      </c>
      <c r="Y60" t="str">
        <f t="shared" si="3"/>
        <v/>
      </c>
      <c r="Z60" t="str">
        <f t="shared" si="4"/>
        <v/>
      </c>
      <c r="AA60" t="str">
        <f t="shared" si="5"/>
        <v/>
      </c>
      <c r="AB60" t="str">
        <f t="shared" si="6"/>
        <v/>
      </c>
      <c r="AC60" t="str">
        <f t="shared" si="7"/>
        <v/>
      </c>
    </row>
    <row r="61" spans="1:29" x14ac:dyDescent="0.35">
      <c r="A61" s="1">
        <v>45629</v>
      </c>
      <c r="B61" s="1">
        <v>45636</v>
      </c>
      <c r="C61">
        <v>251423</v>
      </c>
      <c r="D61" t="s">
        <v>119</v>
      </c>
      <c r="E61" t="s">
        <v>28</v>
      </c>
      <c r="F61" t="s">
        <v>117</v>
      </c>
      <c r="G61" t="s">
        <v>16</v>
      </c>
      <c r="H61" t="s">
        <v>17</v>
      </c>
      <c r="I61" t="s">
        <v>18</v>
      </c>
      <c r="J61" t="s">
        <v>26</v>
      </c>
      <c r="K61" t="s">
        <v>38</v>
      </c>
      <c r="L61" t="s">
        <v>39</v>
      </c>
      <c r="M61" t="s">
        <v>331</v>
      </c>
      <c r="T61">
        <f t="shared" si="11"/>
        <v>1</v>
      </c>
      <c r="V61" s="2" t="str">
        <f t="shared" si="9"/>
        <v>veut arrêter latin mais lycée refuse. Réponse rédigée pour la famille. Apaisement  &amp;&amp;&amp;&amp;&amp;</v>
      </c>
      <c r="W61">
        <f t="shared" si="1"/>
        <v>1</v>
      </c>
      <c r="X61" t="str">
        <f t="shared" si="2"/>
        <v/>
      </c>
      <c r="Y61" t="str">
        <f t="shared" si="3"/>
        <v/>
      </c>
      <c r="Z61" t="str">
        <f t="shared" si="4"/>
        <v/>
      </c>
      <c r="AA61" t="str">
        <f t="shared" si="5"/>
        <v/>
      </c>
      <c r="AB61" t="str">
        <f t="shared" si="6"/>
        <v/>
      </c>
      <c r="AC61" t="str">
        <f t="shared" si="7"/>
        <v/>
      </c>
    </row>
    <row r="62" spans="1:29" x14ac:dyDescent="0.35">
      <c r="A62" s="1">
        <v>45629</v>
      </c>
      <c r="B62" s="1">
        <v>45636</v>
      </c>
      <c r="C62">
        <v>251430</v>
      </c>
      <c r="D62" t="s">
        <v>119</v>
      </c>
      <c r="E62" t="s">
        <v>14</v>
      </c>
      <c r="F62" t="s">
        <v>15</v>
      </c>
      <c r="G62" t="s">
        <v>36</v>
      </c>
      <c r="H62" t="s">
        <v>92</v>
      </c>
      <c r="I62" t="s">
        <v>43</v>
      </c>
      <c r="J62" t="s">
        <v>26</v>
      </c>
      <c r="K62" t="s">
        <v>38</v>
      </c>
      <c r="L62" t="s">
        <v>39</v>
      </c>
      <c r="M62" t="s">
        <v>332</v>
      </c>
      <c r="T62">
        <f t="shared" si="11"/>
        <v>1</v>
      </c>
      <c r="U62" t="s">
        <v>328</v>
      </c>
      <c r="V62" s="2" t="str">
        <f t="shared" si="9"/>
        <v>Difficultés de scolarisation et griefs contre signalement. liste d'attente CMPEA, 3h aesh uniquement le lundi. Parents inquiets de la souffrance de leur fils qui est perdu le reste du temps. Mme Cros portera prioritairement ce dossier&amp;&amp;&amp;&amp;&amp;</v>
      </c>
      <c r="W62" t="str">
        <f t="shared" si="1"/>
        <v/>
      </c>
      <c r="X62" t="str">
        <f t="shared" si="2"/>
        <v/>
      </c>
      <c r="Y62" t="str">
        <f t="shared" si="3"/>
        <v/>
      </c>
      <c r="Z62" t="str">
        <f t="shared" si="4"/>
        <v/>
      </c>
      <c r="AA62" t="str">
        <f t="shared" si="5"/>
        <v/>
      </c>
      <c r="AB62" t="str">
        <f t="shared" si="6"/>
        <v/>
      </c>
      <c r="AC62">
        <f t="shared" si="7"/>
        <v>1</v>
      </c>
    </row>
    <row r="63" spans="1:29" x14ac:dyDescent="0.35">
      <c r="A63" s="1">
        <v>45629</v>
      </c>
      <c r="B63" s="1">
        <v>45631</v>
      </c>
      <c r="C63">
        <v>251495</v>
      </c>
      <c r="D63" t="s">
        <v>27</v>
      </c>
      <c r="E63" t="s">
        <v>28</v>
      </c>
      <c r="F63" t="s">
        <v>55</v>
      </c>
      <c r="G63" t="s">
        <v>16</v>
      </c>
      <c r="H63" t="s">
        <v>89</v>
      </c>
      <c r="I63" t="s">
        <v>75</v>
      </c>
      <c r="J63" t="s">
        <v>26</v>
      </c>
      <c r="K63" t="s">
        <v>38</v>
      </c>
      <c r="L63" t="s">
        <v>81</v>
      </c>
      <c r="M63" t="s">
        <v>189</v>
      </c>
      <c r="T63">
        <f t="shared" si="11"/>
        <v>1</v>
      </c>
      <c r="V63" s="2" t="str">
        <f t="shared" si="9"/>
        <v>Contestation de la sanction donnée à leur fille. Echange téléphonique avec lla maman puis avec la principale qui accepte de recevoir la famille pour explicitation&amp;&amp;&amp;&amp;&amp;</v>
      </c>
      <c r="W63">
        <f t="shared" si="1"/>
        <v>1</v>
      </c>
      <c r="X63" t="str">
        <f t="shared" si="2"/>
        <v/>
      </c>
      <c r="Y63" t="str">
        <f t="shared" si="3"/>
        <v/>
      </c>
      <c r="Z63" t="str">
        <f t="shared" si="4"/>
        <v/>
      </c>
      <c r="AA63" t="str">
        <f t="shared" si="5"/>
        <v/>
      </c>
      <c r="AB63" t="str">
        <f t="shared" si="6"/>
        <v/>
      </c>
      <c r="AC63" t="str">
        <f t="shared" si="7"/>
        <v/>
      </c>
    </row>
    <row r="64" spans="1:29" x14ac:dyDescent="0.35">
      <c r="A64" s="1">
        <v>45629</v>
      </c>
      <c r="B64" s="1">
        <v>45653</v>
      </c>
      <c r="C64">
        <v>251584</v>
      </c>
      <c r="D64" t="s">
        <v>31</v>
      </c>
      <c r="E64" t="s">
        <v>28</v>
      </c>
      <c r="F64" t="s">
        <v>55</v>
      </c>
      <c r="G64" t="s">
        <v>23</v>
      </c>
      <c r="H64" t="s">
        <v>87</v>
      </c>
      <c r="I64" t="s">
        <v>18</v>
      </c>
      <c r="J64" t="s">
        <v>26</v>
      </c>
      <c r="K64" t="s">
        <v>38</v>
      </c>
      <c r="L64" t="s">
        <v>39</v>
      </c>
      <c r="M64" t="s">
        <v>190</v>
      </c>
      <c r="T64">
        <f t="shared" si="11"/>
        <v>1</v>
      </c>
      <c r="V64" s="2" t="str">
        <f t="shared" si="9"/>
        <v>3eme collège. Conflit avec famille Elève de 3eme à Paris. A été bousculé par une autre élève et a cassé une table. L'intendant demande remboursement. Ai sollicité principal qui accepte le non lieu.&amp;&amp;&amp;&amp;&amp;</v>
      </c>
      <c r="W64">
        <f t="shared" si="1"/>
        <v>1</v>
      </c>
      <c r="X64" t="str">
        <f t="shared" si="2"/>
        <v/>
      </c>
      <c r="Y64" t="str">
        <f t="shared" si="3"/>
        <v/>
      </c>
      <c r="Z64" t="str">
        <f t="shared" si="4"/>
        <v/>
      </c>
      <c r="AA64" t="str">
        <f t="shared" si="5"/>
        <v/>
      </c>
      <c r="AB64" t="str">
        <f t="shared" si="6"/>
        <v/>
      </c>
      <c r="AC64" t="str">
        <f t="shared" si="7"/>
        <v/>
      </c>
    </row>
    <row r="65" spans="1:29" x14ac:dyDescent="0.35">
      <c r="A65" s="1">
        <v>45628</v>
      </c>
      <c r="B65" s="1">
        <v>45635</v>
      </c>
      <c r="C65">
        <v>251223</v>
      </c>
      <c r="D65" t="s">
        <v>93</v>
      </c>
      <c r="E65" t="s">
        <v>28</v>
      </c>
      <c r="F65" t="s">
        <v>55</v>
      </c>
      <c r="G65" t="s">
        <v>16</v>
      </c>
      <c r="H65" t="s">
        <v>89</v>
      </c>
      <c r="I65" t="s">
        <v>75</v>
      </c>
      <c r="J65" t="s">
        <v>26</v>
      </c>
      <c r="K65" t="s">
        <v>122</v>
      </c>
      <c r="M65" t="s">
        <v>191</v>
      </c>
      <c r="T65">
        <f t="shared" si="11"/>
        <v>1</v>
      </c>
      <c r="V65" s="2" t="str">
        <f t="shared" si="9"/>
        <v>Elèv exclu 3 j alors qu'il n'a pas porté de coups mais les a reçus. Mail et appel vers la famille expliquant les contestations possibles. Elève qui a repris les cours normalement&amp;&amp;&amp;&amp;&amp;</v>
      </c>
      <c r="W65">
        <f t="shared" si="1"/>
        <v>1</v>
      </c>
      <c r="X65" t="str">
        <f t="shared" si="2"/>
        <v/>
      </c>
      <c r="Y65" t="str">
        <f t="shared" si="3"/>
        <v/>
      </c>
      <c r="Z65" t="str">
        <f t="shared" si="4"/>
        <v/>
      </c>
      <c r="AA65" t="str">
        <f t="shared" si="5"/>
        <v/>
      </c>
      <c r="AB65" t="str">
        <f t="shared" si="6"/>
        <v/>
      </c>
      <c r="AC65" t="str">
        <f t="shared" si="7"/>
        <v/>
      </c>
    </row>
    <row r="66" spans="1:29" x14ac:dyDescent="0.35">
      <c r="A66" s="1">
        <v>45628</v>
      </c>
      <c r="B66" s="1">
        <v>45638</v>
      </c>
      <c r="C66">
        <v>251330</v>
      </c>
      <c r="D66" t="s">
        <v>35</v>
      </c>
      <c r="E66" t="s">
        <v>28</v>
      </c>
      <c r="F66" t="s">
        <v>88</v>
      </c>
      <c r="G66" t="s">
        <v>36</v>
      </c>
      <c r="H66" t="s">
        <v>37</v>
      </c>
      <c r="I66" t="s">
        <v>18</v>
      </c>
      <c r="J66" t="s">
        <v>26</v>
      </c>
      <c r="K66" t="s">
        <v>38</v>
      </c>
      <c r="L66" t="s">
        <v>39</v>
      </c>
      <c r="M66" t="s">
        <v>333</v>
      </c>
      <c r="T66">
        <f t="shared" ref="T66:T97" si="12">IF(SUM(W66:AC66)&gt;0,1,"")</f>
        <v>1</v>
      </c>
      <c r="V66" s="2" t="str">
        <f t="shared" ref="V66:V129" si="13">M66&amp;"&amp;"&amp;N66&amp;"&amp;"&amp;O66&amp;"&amp;"&amp;P66&amp;"&amp;"&amp;Q66&amp;"&amp;"&amp;R66</f>
        <v>UOCOL : Courriel adressé également à M. le Référent instruction en famille DSDEN du Gard : il a été saisi par la mère de l'élève inscrit au CNED, pour 24-25 : erreur : il est inscrit en 4ème alors qu'il n'est qu'en 6ème.&amp;&amp;&amp;&amp;&amp;</v>
      </c>
      <c r="W66">
        <f t="shared" ref="W66:W129" si="14">IF(ISNUMBER(SEARCH($W$1,$V66)),1,"")</f>
        <v>1</v>
      </c>
      <c r="X66">
        <f t="shared" ref="X66:X129" si="15">IF(ISNUMBER(SEARCH($X$1,$V66)),1,"")</f>
        <v>1</v>
      </c>
      <c r="Y66" t="str">
        <f t="shared" ref="Y66:Y129" si="16">IF(ISNUMBER(SEARCH($Y$1,$V66)),1,"")</f>
        <v/>
      </c>
      <c r="Z66" t="str">
        <f t="shared" ref="Z66:Z129" si="17">IF(ISNUMBER(SEARCH($Z$1,$V66)),1,"")</f>
        <v/>
      </c>
      <c r="AA66" t="str">
        <f t="shared" ref="AA66:AA129" si="18">IF(ISNUMBER(SEARCH($AA$1,$V66)),1,"")</f>
        <v/>
      </c>
      <c r="AB66" t="str">
        <f t="shared" ref="AB66:AB129" si="19">IF(ISNUMBER(SEARCH($AB$1,$V66)),1,"")</f>
        <v/>
      </c>
      <c r="AC66" t="str">
        <f t="shared" ref="AC66:AC129" si="20">IF(ISNUMBER(SEARCH($AC$1,$V66)),1,"")</f>
        <v/>
      </c>
    </row>
    <row r="67" spans="1:29" x14ac:dyDescent="0.35">
      <c r="A67" s="1">
        <v>45628</v>
      </c>
      <c r="B67" s="1">
        <v>45638</v>
      </c>
      <c r="C67">
        <v>251657</v>
      </c>
      <c r="D67" t="s">
        <v>82</v>
      </c>
      <c r="E67" t="s">
        <v>14</v>
      </c>
      <c r="F67" t="s">
        <v>15</v>
      </c>
      <c r="G67" t="s">
        <v>16</v>
      </c>
      <c r="H67" t="s">
        <v>132</v>
      </c>
      <c r="I67" t="s">
        <v>43</v>
      </c>
      <c r="J67" t="s">
        <v>26</v>
      </c>
      <c r="K67" t="s">
        <v>38</v>
      </c>
      <c r="L67" t="s">
        <v>39</v>
      </c>
      <c r="M67" t="s">
        <v>192</v>
      </c>
      <c r="T67">
        <f t="shared" si="12"/>
        <v>1</v>
      </c>
      <c r="V67" s="2" t="str">
        <f t="shared" si="13"/>
        <v>AESH pour 4 élèves suspendue, affectée autre école à un autre élève. A la demande de l'IEN AESH, dossier transféré pour instruction à l'IEN AVS de secteur&amp;&amp;&amp;&amp;&amp;</v>
      </c>
      <c r="W67" t="str">
        <f t="shared" si="14"/>
        <v/>
      </c>
      <c r="X67">
        <f t="shared" si="15"/>
        <v>1</v>
      </c>
      <c r="Y67" t="str">
        <f t="shared" si="16"/>
        <v/>
      </c>
      <c r="Z67" t="str">
        <f t="shared" si="17"/>
        <v/>
      </c>
      <c r="AA67" t="str">
        <f t="shared" si="18"/>
        <v/>
      </c>
      <c r="AB67" t="str">
        <f t="shared" si="19"/>
        <v/>
      </c>
      <c r="AC67" t="str">
        <f t="shared" si="20"/>
        <v/>
      </c>
    </row>
    <row r="68" spans="1:29" x14ac:dyDescent="0.35">
      <c r="A68" s="1">
        <v>45628</v>
      </c>
      <c r="B68" s="1">
        <v>45643</v>
      </c>
      <c r="C68">
        <v>252285</v>
      </c>
      <c r="D68" t="s">
        <v>27</v>
      </c>
      <c r="E68" t="s">
        <v>28</v>
      </c>
      <c r="F68" t="s">
        <v>117</v>
      </c>
      <c r="G68" t="s">
        <v>23</v>
      </c>
      <c r="H68" t="s">
        <v>87</v>
      </c>
      <c r="I68" t="s">
        <v>125</v>
      </c>
      <c r="J68" t="s">
        <v>60</v>
      </c>
      <c r="M68" t="s">
        <v>193</v>
      </c>
      <c r="T68">
        <f t="shared" si="12"/>
        <v>1</v>
      </c>
      <c r="V68" s="2" t="str">
        <f t="shared" si="13"/>
        <v>Envoi d'un courrier recommandé par famille qui conteste l'état de l'ordinateur reçu par l'élève dans le cadre de la dotation régionale. Il s'agit d'un lycée agricole. Média non compétent.&amp;&amp;&amp;&amp;&amp;</v>
      </c>
      <c r="W68">
        <f t="shared" si="14"/>
        <v>1</v>
      </c>
      <c r="X68" t="str">
        <f t="shared" si="15"/>
        <v/>
      </c>
      <c r="Y68" t="str">
        <f t="shared" si="16"/>
        <v/>
      </c>
      <c r="Z68" t="str">
        <f t="shared" si="17"/>
        <v/>
      </c>
      <c r="AA68" t="str">
        <f t="shared" si="18"/>
        <v/>
      </c>
      <c r="AB68" t="str">
        <f t="shared" si="19"/>
        <v/>
      </c>
      <c r="AC68" t="str">
        <f t="shared" si="20"/>
        <v/>
      </c>
    </row>
    <row r="69" spans="1:29" x14ac:dyDescent="0.35">
      <c r="A69" s="1">
        <v>45627</v>
      </c>
      <c r="B69" s="1">
        <v>45646</v>
      </c>
      <c r="C69">
        <v>251172</v>
      </c>
      <c r="D69" t="s">
        <v>80</v>
      </c>
      <c r="E69" t="s">
        <v>28</v>
      </c>
      <c r="F69" t="s">
        <v>55</v>
      </c>
      <c r="G69" t="s">
        <v>16</v>
      </c>
      <c r="H69" t="s">
        <v>69</v>
      </c>
      <c r="I69" t="s">
        <v>18</v>
      </c>
      <c r="J69" t="s">
        <v>26</v>
      </c>
      <c r="K69" t="s">
        <v>38</v>
      </c>
      <c r="L69" t="s">
        <v>81</v>
      </c>
      <c r="M69" t="s">
        <v>194</v>
      </c>
      <c r="T69">
        <f t="shared" si="12"/>
        <v>1</v>
      </c>
      <c r="V69" s="2" t="str">
        <f t="shared" si="13"/>
        <v>Signale comportement et propos déplacés d'un professeur.  (Courriel autre famille en pj) Principal a adressé dossier et témoignages à DPE qui étudie degré sanction. Req informée par BK que le dossier est bien instruit&amp;&amp;&amp;&amp;&amp;</v>
      </c>
      <c r="W69">
        <f t="shared" si="14"/>
        <v>1</v>
      </c>
      <c r="X69" t="str">
        <f t="shared" si="15"/>
        <v/>
      </c>
      <c r="Y69" t="str">
        <f t="shared" si="16"/>
        <v/>
      </c>
      <c r="Z69" t="str">
        <f t="shared" si="17"/>
        <v/>
      </c>
      <c r="AA69" t="str">
        <f t="shared" si="18"/>
        <v/>
      </c>
      <c r="AB69" t="str">
        <f t="shared" si="19"/>
        <v/>
      </c>
      <c r="AC69" t="str">
        <f t="shared" si="20"/>
        <v/>
      </c>
    </row>
    <row r="70" spans="1:29" x14ac:dyDescent="0.35">
      <c r="A70" s="1">
        <v>45627</v>
      </c>
      <c r="B70" s="1">
        <v>45635</v>
      </c>
      <c r="C70">
        <v>251274</v>
      </c>
      <c r="D70" t="s">
        <v>97</v>
      </c>
      <c r="E70" t="s">
        <v>48</v>
      </c>
      <c r="F70" t="s">
        <v>195</v>
      </c>
      <c r="G70" t="s">
        <v>49</v>
      </c>
      <c r="H70" t="s">
        <v>196</v>
      </c>
      <c r="I70" t="s">
        <v>18</v>
      </c>
      <c r="J70" t="s">
        <v>26</v>
      </c>
      <c r="K70" t="s">
        <v>38</v>
      </c>
      <c r="L70" t="s">
        <v>39</v>
      </c>
      <c r="M70" t="s">
        <v>197</v>
      </c>
      <c r="T70">
        <f t="shared" si="12"/>
        <v>1</v>
      </c>
      <c r="U70" t="s">
        <v>328</v>
      </c>
      <c r="V70" s="2" t="str">
        <f t="shared" si="13"/>
        <v>VH - PLP ébénisterie au sein d'un imbroglio administratif qui ne lui permet ni d'être à la retraite - erreur de calcul années de cotisation caisse complémentaire - ni en activité - les sces des la DEP-IEF ne lui fournissent pas d'attestation pour FTravail&amp;&amp;&amp;&amp;&amp;</v>
      </c>
      <c r="W70" t="str">
        <f t="shared" si="14"/>
        <v/>
      </c>
      <c r="X70" t="str">
        <f t="shared" si="15"/>
        <v/>
      </c>
      <c r="Y70" t="str">
        <f t="shared" si="16"/>
        <v/>
      </c>
      <c r="Z70" t="str">
        <f t="shared" si="17"/>
        <v/>
      </c>
      <c r="AA70" t="str">
        <f t="shared" si="18"/>
        <v/>
      </c>
      <c r="AB70" t="str">
        <f t="shared" si="19"/>
        <v/>
      </c>
      <c r="AC70">
        <f t="shared" si="20"/>
        <v>1</v>
      </c>
    </row>
    <row r="71" spans="1:29" x14ac:dyDescent="0.35">
      <c r="A71" s="1">
        <v>45627</v>
      </c>
      <c r="B71" s="1">
        <v>45632</v>
      </c>
      <c r="C71">
        <v>251514</v>
      </c>
      <c r="D71" t="s">
        <v>58</v>
      </c>
      <c r="E71" t="s">
        <v>28</v>
      </c>
      <c r="F71" t="s">
        <v>74</v>
      </c>
      <c r="G71" t="s">
        <v>16</v>
      </c>
      <c r="H71" s="3" t="s">
        <v>182</v>
      </c>
      <c r="I71" t="s">
        <v>18</v>
      </c>
      <c r="J71" t="s">
        <v>19</v>
      </c>
      <c r="M71" t="s">
        <v>198</v>
      </c>
      <c r="T71">
        <f t="shared" si="12"/>
        <v>1</v>
      </c>
      <c r="U71" t="s">
        <v>328</v>
      </c>
      <c r="V71" s="2" t="str">
        <f t="shared" si="13"/>
        <v>La mère de l'élève nous demande comment procéder à une IEF car sa fille ne veut plus aller au collège. Nous lui demandons plus de précisions.  Pas de réponse&amp;&amp;&amp;&amp;&amp;</v>
      </c>
      <c r="W71" t="str">
        <f t="shared" si="14"/>
        <v/>
      </c>
      <c r="X71" t="str">
        <f t="shared" si="15"/>
        <v/>
      </c>
      <c r="Y71" t="str">
        <f t="shared" si="16"/>
        <v/>
      </c>
      <c r="Z71" t="str">
        <f t="shared" si="17"/>
        <v/>
      </c>
      <c r="AA71" t="str">
        <f t="shared" si="18"/>
        <v/>
      </c>
      <c r="AB71" t="str">
        <f t="shared" si="19"/>
        <v/>
      </c>
      <c r="AC71">
        <f t="shared" si="20"/>
        <v>1</v>
      </c>
    </row>
    <row r="72" spans="1:29" x14ac:dyDescent="0.35">
      <c r="A72" s="1">
        <v>45626</v>
      </c>
      <c r="B72" s="1">
        <v>45635</v>
      </c>
      <c r="C72">
        <v>251180</v>
      </c>
      <c r="D72" t="s">
        <v>93</v>
      </c>
      <c r="E72" t="s">
        <v>14</v>
      </c>
      <c r="F72" t="s">
        <v>15</v>
      </c>
      <c r="G72" t="s">
        <v>16</v>
      </c>
      <c r="H72" t="s">
        <v>132</v>
      </c>
      <c r="I72" t="s">
        <v>43</v>
      </c>
      <c r="J72" t="s">
        <v>26</v>
      </c>
      <c r="K72" t="s">
        <v>38</v>
      </c>
      <c r="L72" t="s">
        <v>108</v>
      </c>
      <c r="M72" t="s">
        <v>199</v>
      </c>
      <c r="N72" t="s">
        <v>200</v>
      </c>
      <c r="T72">
        <f t="shared" si="12"/>
        <v>1</v>
      </c>
      <c r="V72" s="2" t="str">
        <f t="shared" si="13"/>
        <v>famille qui dénonce le manque d'AESH dans cette classe ULIS avec 12 notifications et une seule AESH&amp; Réponse sur le manque de candidats&amp;&amp;&amp;&amp;</v>
      </c>
      <c r="W72">
        <f t="shared" si="14"/>
        <v>1</v>
      </c>
      <c r="X72" t="str">
        <f t="shared" si="15"/>
        <v/>
      </c>
      <c r="Y72" t="str">
        <f t="shared" si="16"/>
        <v/>
      </c>
      <c r="Z72" t="str">
        <f t="shared" si="17"/>
        <v/>
      </c>
      <c r="AA72" t="str">
        <f t="shared" si="18"/>
        <v/>
      </c>
      <c r="AB72" t="str">
        <f t="shared" si="19"/>
        <v/>
      </c>
      <c r="AC72" t="str">
        <f t="shared" si="20"/>
        <v/>
      </c>
    </row>
    <row r="73" spans="1:29" x14ac:dyDescent="0.35">
      <c r="A73" s="1">
        <v>45625</v>
      </c>
      <c r="B73" s="1">
        <v>45631</v>
      </c>
      <c r="C73">
        <v>251093</v>
      </c>
      <c r="D73" t="s">
        <v>97</v>
      </c>
      <c r="E73" t="s">
        <v>28</v>
      </c>
      <c r="F73" t="s">
        <v>83</v>
      </c>
      <c r="G73" t="s">
        <v>16</v>
      </c>
      <c r="H73" t="s">
        <v>116</v>
      </c>
      <c r="I73" t="s">
        <v>43</v>
      </c>
      <c r="J73" t="s">
        <v>26</v>
      </c>
      <c r="K73" t="s">
        <v>38</v>
      </c>
      <c r="L73" t="s">
        <v>81</v>
      </c>
      <c r="M73" t="s">
        <v>202</v>
      </c>
      <c r="T73">
        <f t="shared" si="12"/>
        <v>1</v>
      </c>
      <c r="V73" s="2" t="str">
        <f t="shared" si="13"/>
        <v>Parent qui demande application de la notification MDPH et des renseignements sur les aménagements d'examen. Prise en compte par le lycée, proviseur adjoint recevra la famille&amp;&amp;&amp;&amp;&amp;</v>
      </c>
      <c r="W73">
        <f t="shared" si="14"/>
        <v>1</v>
      </c>
      <c r="X73" t="str">
        <f t="shared" si="15"/>
        <v/>
      </c>
      <c r="Y73" t="str">
        <f t="shared" si="16"/>
        <v/>
      </c>
      <c r="Z73" t="str">
        <f t="shared" si="17"/>
        <v/>
      </c>
      <c r="AA73" t="str">
        <f t="shared" si="18"/>
        <v/>
      </c>
      <c r="AB73" t="str">
        <f t="shared" si="19"/>
        <v/>
      </c>
      <c r="AC73" t="str">
        <f t="shared" si="20"/>
        <v/>
      </c>
    </row>
    <row r="74" spans="1:29" x14ac:dyDescent="0.35">
      <c r="A74" s="1">
        <v>45625</v>
      </c>
      <c r="B74" s="1">
        <v>45635</v>
      </c>
      <c r="C74">
        <v>251095</v>
      </c>
      <c r="D74" t="s">
        <v>109</v>
      </c>
      <c r="E74" t="s">
        <v>76</v>
      </c>
      <c r="F74" t="s">
        <v>77</v>
      </c>
      <c r="G74" t="s">
        <v>91</v>
      </c>
      <c r="H74" t="s">
        <v>102</v>
      </c>
      <c r="I74" t="s">
        <v>18</v>
      </c>
      <c r="J74" t="s">
        <v>26</v>
      </c>
      <c r="K74" t="s">
        <v>38</v>
      </c>
      <c r="L74" t="s">
        <v>39</v>
      </c>
      <c r="M74" t="s">
        <v>203</v>
      </c>
      <c r="T74">
        <f t="shared" si="12"/>
        <v>1</v>
      </c>
      <c r="U74" t="s">
        <v>328</v>
      </c>
      <c r="V74" s="2" t="str">
        <f t="shared" si="13"/>
        <v>Enseignante expose différents griefs à l'encontre de sa Cheffe d'établissement dont une journée de carence indûment prélevée Journée de carence recréditée sur paye de janvier&amp;&amp;&amp;&amp;&amp;</v>
      </c>
      <c r="W74" t="str">
        <f t="shared" si="14"/>
        <v/>
      </c>
      <c r="X74" t="str">
        <f t="shared" si="15"/>
        <v/>
      </c>
      <c r="Y74" t="str">
        <f t="shared" si="16"/>
        <v/>
      </c>
      <c r="Z74" t="str">
        <f t="shared" si="17"/>
        <v/>
      </c>
      <c r="AA74" t="str">
        <f t="shared" si="18"/>
        <v/>
      </c>
      <c r="AB74" t="str">
        <f t="shared" si="19"/>
        <v/>
      </c>
      <c r="AC74">
        <f t="shared" si="20"/>
        <v>1</v>
      </c>
    </row>
    <row r="75" spans="1:29" x14ac:dyDescent="0.35">
      <c r="A75" s="1">
        <v>45625</v>
      </c>
      <c r="B75" s="1">
        <v>45628</v>
      </c>
      <c r="C75">
        <v>251099</v>
      </c>
      <c r="D75" t="s">
        <v>65</v>
      </c>
      <c r="E75" t="s">
        <v>21</v>
      </c>
      <c r="F75" t="s">
        <v>50</v>
      </c>
      <c r="G75" t="s">
        <v>23</v>
      </c>
      <c r="H75" t="s">
        <v>137</v>
      </c>
      <c r="I75" t="s">
        <v>18</v>
      </c>
      <c r="J75" t="s">
        <v>26</v>
      </c>
      <c r="K75" t="s">
        <v>25</v>
      </c>
      <c r="M75" t="s">
        <v>204</v>
      </c>
      <c r="T75">
        <f t="shared" si="12"/>
        <v>1</v>
      </c>
      <c r="V75" s="2" t="str">
        <f t="shared" si="13"/>
        <v>Etudiante à distance à Paris. Perte possible du logement CROUS à Bordeaux. Réponse explicative du médiateur via le CROUS.&amp;&amp;&amp;&amp;&amp;</v>
      </c>
      <c r="W75" t="str">
        <f t="shared" si="14"/>
        <v/>
      </c>
      <c r="X75" t="str">
        <f t="shared" si="15"/>
        <v/>
      </c>
      <c r="Y75" t="str">
        <f t="shared" si="16"/>
        <v/>
      </c>
      <c r="Z75" t="str">
        <f t="shared" si="17"/>
        <v/>
      </c>
      <c r="AA75">
        <f t="shared" si="18"/>
        <v>1</v>
      </c>
      <c r="AB75" t="str">
        <f t="shared" si="19"/>
        <v/>
      </c>
      <c r="AC75" t="str">
        <f t="shared" si="20"/>
        <v/>
      </c>
    </row>
    <row r="76" spans="1:29" x14ac:dyDescent="0.35">
      <c r="A76" s="1">
        <v>45625</v>
      </c>
      <c r="B76" s="1">
        <v>45628</v>
      </c>
      <c r="C76">
        <v>251102</v>
      </c>
      <c r="D76" t="s">
        <v>97</v>
      </c>
      <c r="E76" t="s">
        <v>28</v>
      </c>
      <c r="F76" t="s">
        <v>74</v>
      </c>
      <c r="G76" t="s">
        <v>23</v>
      </c>
      <c r="H76" t="s">
        <v>87</v>
      </c>
      <c r="I76" t="s">
        <v>18</v>
      </c>
      <c r="J76" t="s">
        <v>26</v>
      </c>
      <c r="K76" t="s">
        <v>25</v>
      </c>
      <c r="M76" t="s">
        <v>205</v>
      </c>
      <c r="T76">
        <f t="shared" si="12"/>
        <v>1</v>
      </c>
      <c r="V76" s="2" t="str">
        <f t="shared" si="13"/>
        <v>Différend entre le collège et la famille au sujet du paiement de la restauration scolaire. Exclusion de la demi-pension en attendant règlement du litige. Repas assurés par un prestataire donc compétence DDD&amp;&amp;&amp;&amp;&amp;</v>
      </c>
      <c r="W76">
        <f t="shared" si="14"/>
        <v>1</v>
      </c>
      <c r="X76" t="str">
        <f t="shared" si="15"/>
        <v/>
      </c>
      <c r="Y76" t="str">
        <f t="shared" si="16"/>
        <v/>
      </c>
      <c r="Z76" t="str">
        <f t="shared" si="17"/>
        <v/>
      </c>
      <c r="AA76" t="str">
        <f t="shared" si="18"/>
        <v/>
      </c>
      <c r="AB76" t="str">
        <f t="shared" si="19"/>
        <v/>
      </c>
      <c r="AC76" t="str">
        <f t="shared" si="20"/>
        <v/>
      </c>
    </row>
    <row r="77" spans="1:29" x14ac:dyDescent="0.35">
      <c r="A77" s="1">
        <v>45624</v>
      </c>
      <c r="B77" s="1">
        <v>45631</v>
      </c>
      <c r="C77">
        <v>250987</v>
      </c>
      <c r="D77" t="s">
        <v>97</v>
      </c>
      <c r="E77" t="s">
        <v>14</v>
      </c>
      <c r="F77" t="s">
        <v>90</v>
      </c>
      <c r="G77" t="s">
        <v>16</v>
      </c>
      <c r="H77" t="s">
        <v>116</v>
      </c>
      <c r="I77" t="s">
        <v>43</v>
      </c>
      <c r="J77" t="s">
        <v>26</v>
      </c>
      <c r="K77" t="s">
        <v>38</v>
      </c>
      <c r="L77" t="s">
        <v>81</v>
      </c>
      <c r="M77" t="s">
        <v>206</v>
      </c>
      <c r="T77">
        <f t="shared" si="12"/>
        <v>1</v>
      </c>
      <c r="V77" s="2" t="str">
        <f t="shared" si="13"/>
        <v>Famille qui conteste les aménagements et critiques qui lui sont faites (IP sociale). Situation très complexe, école dépassée car le handicap relève d'une prise en charge pluridisciplinaire&amp;&amp;&amp;&amp;&amp;</v>
      </c>
      <c r="W77">
        <f t="shared" si="14"/>
        <v>1</v>
      </c>
      <c r="X77" t="str">
        <f t="shared" si="15"/>
        <v/>
      </c>
      <c r="Y77" t="str">
        <f t="shared" si="16"/>
        <v/>
      </c>
      <c r="Z77" t="str">
        <f t="shared" si="17"/>
        <v/>
      </c>
      <c r="AA77" t="str">
        <f t="shared" si="18"/>
        <v/>
      </c>
      <c r="AB77" t="str">
        <f t="shared" si="19"/>
        <v/>
      </c>
      <c r="AC77" t="str">
        <f t="shared" si="20"/>
        <v/>
      </c>
    </row>
    <row r="78" spans="1:29" x14ac:dyDescent="0.35">
      <c r="A78" s="1">
        <v>45624</v>
      </c>
      <c r="B78" s="1">
        <v>45625</v>
      </c>
      <c r="C78">
        <v>250998</v>
      </c>
      <c r="D78" t="s">
        <v>82</v>
      </c>
      <c r="E78" t="s">
        <v>28</v>
      </c>
      <c r="F78" t="s">
        <v>66</v>
      </c>
      <c r="G78" t="s">
        <v>16</v>
      </c>
      <c r="H78" t="s">
        <v>116</v>
      </c>
      <c r="I78" t="s">
        <v>43</v>
      </c>
      <c r="J78" t="s">
        <v>26</v>
      </c>
      <c r="K78" t="s">
        <v>38</v>
      </c>
      <c r="L78" t="s">
        <v>81</v>
      </c>
      <c r="M78" t="s">
        <v>207</v>
      </c>
      <c r="T78">
        <f t="shared" si="12"/>
        <v>1</v>
      </c>
      <c r="V78" s="2" t="str">
        <f t="shared" si="13"/>
        <v>Cardiopathie grave et asthme, demande affectation collège proche domicile ULIS 6ème et présence AESH. Collège proposé refusé par la famille, trop éloigné domicilereste ds son collège, transport par taxi assuré, recherche AESH&amp;&amp;&amp;&amp;&amp;</v>
      </c>
      <c r="W78">
        <f t="shared" si="14"/>
        <v>1</v>
      </c>
      <c r="X78" t="str">
        <f t="shared" si="15"/>
        <v/>
      </c>
      <c r="Y78">
        <f t="shared" si="16"/>
        <v>1</v>
      </c>
      <c r="Z78" t="str">
        <f t="shared" si="17"/>
        <v/>
      </c>
      <c r="AA78" t="str">
        <f t="shared" si="18"/>
        <v/>
      </c>
      <c r="AB78" t="str">
        <f t="shared" si="19"/>
        <v/>
      </c>
      <c r="AC78" t="str">
        <f t="shared" si="20"/>
        <v/>
      </c>
    </row>
    <row r="79" spans="1:29" x14ac:dyDescent="0.35">
      <c r="A79" s="1">
        <v>45624</v>
      </c>
      <c r="B79" s="1">
        <v>45628</v>
      </c>
      <c r="C79">
        <v>251073</v>
      </c>
      <c r="D79" t="s">
        <v>97</v>
      </c>
      <c r="E79" t="s">
        <v>21</v>
      </c>
      <c r="F79" t="s">
        <v>50</v>
      </c>
      <c r="G79" t="s">
        <v>41</v>
      </c>
      <c r="H79" t="s">
        <v>54</v>
      </c>
      <c r="I79" t="s">
        <v>18</v>
      </c>
      <c r="J79" t="s">
        <v>26</v>
      </c>
      <c r="K79" t="s">
        <v>25</v>
      </c>
      <c r="M79" t="s">
        <v>334</v>
      </c>
      <c r="T79">
        <f t="shared" si="12"/>
        <v>1</v>
      </c>
      <c r="V79" s="2" t="str">
        <f t="shared" si="13"/>
        <v>étudiant de BTS à distance qui a oublié de s'inscrire à l'examen. Inscriptions désormais closes&amp;&amp;&amp;&amp;&amp;</v>
      </c>
      <c r="W79" t="str">
        <f t="shared" si="14"/>
        <v/>
      </c>
      <c r="X79" t="str">
        <f t="shared" si="15"/>
        <v/>
      </c>
      <c r="Y79" t="str">
        <f t="shared" si="16"/>
        <v/>
      </c>
      <c r="Z79" t="str">
        <f t="shared" si="17"/>
        <v/>
      </c>
      <c r="AA79">
        <f t="shared" si="18"/>
        <v>1</v>
      </c>
      <c r="AB79" t="str">
        <f t="shared" si="19"/>
        <v/>
      </c>
      <c r="AC79" t="str">
        <f t="shared" si="20"/>
        <v/>
      </c>
    </row>
    <row r="80" spans="1:29" x14ac:dyDescent="0.35">
      <c r="A80" s="1">
        <v>45624</v>
      </c>
      <c r="B80" s="1">
        <v>45638</v>
      </c>
      <c r="C80">
        <v>251655</v>
      </c>
      <c r="D80" t="s">
        <v>82</v>
      </c>
      <c r="E80" t="s">
        <v>28</v>
      </c>
      <c r="F80" t="s">
        <v>44</v>
      </c>
      <c r="G80" t="s">
        <v>16</v>
      </c>
      <c r="H80" t="s">
        <v>132</v>
      </c>
      <c r="I80" t="s">
        <v>43</v>
      </c>
      <c r="J80" t="s">
        <v>26</v>
      </c>
      <c r="K80" t="s">
        <v>38</v>
      </c>
      <c r="L80" t="s">
        <v>39</v>
      </c>
      <c r="M80" t="s">
        <v>208</v>
      </c>
      <c r="T80">
        <f t="shared" si="12"/>
        <v>1</v>
      </c>
      <c r="V80" s="2" t="str">
        <f t="shared" si="13"/>
        <v>En terminale avec AESH, transféré en ULIS sans AESH, perd pied, pb pour le bac. A la demande de l'IEN AESH, dossier transféré pour instruction à l'IEN AVS de secteur&amp;&amp;&amp;&amp;&amp;</v>
      </c>
      <c r="W80" t="str">
        <f t="shared" si="14"/>
        <v/>
      </c>
      <c r="X80">
        <f t="shared" si="15"/>
        <v>1</v>
      </c>
      <c r="Y80" t="str">
        <f t="shared" si="16"/>
        <v/>
      </c>
      <c r="Z80" t="str">
        <f t="shared" si="17"/>
        <v/>
      </c>
      <c r="AA80" t="str">
        <f t="shared" si="18"/>
        <v/>
      </c>
      <c r="AB80" t="str">
        <f t="shared" si="19"/>
        <v/>
      </c>
      <c r="AC80" t="str">
        <f t="shared" si="20"/>
        <v/>
      </c>
    </row>
    <row r="81" spans="1:29" x14ac:dyDescent="0.35">
      <c r="A81" s="1">
        <v>45624</v>
      </c>
      <c r="B81" s="1">
        <v>45625</v>
      </c>
      <c r="C81">
        <v>252161</v>
      </c>
      <c r="D81" t="s">
        <v>78</v>
      </c>
      <c r="E81" t="s">
        <v>28</v>
      </c>
      <c r="F81" t="s">
        <v>55</v>
      </c>
      <c r="G81" t="s">
        <v>16</v>
      </c>
      <c r="H81" t="s">
        <v>116</v>
      </c>
      <c r="I81" t="s">
        <v>43</v>
      </c>
      <c r="J81" t="s">
        <v>26</v>
      </c>
      <c r="K81" t="s">
        <v>38</v>
      </c>
      <c r="L81" t="s">
        <v>81</v>
      </c>
      <c r="M81" t="s">
        <v>209</v>
      </c>
      <c r="T81">
        <f t="shared" si="12"/>
        <v>1</v>
      </c>
      <c r="V81" s="2" t="str">
        <f t="shared" si="13"/>
        <v>APADHE refusée. La famille demande un réexamen de la situation. Contacté par le médiateur, le SMS indique que le médecin va répondre à cette famille.&amp;&amp;&amp;&amp;&amp;</v>
      </c>
      <c r="W81">
        <f t="shared" si="14"/>
        <v>1</v>
      </c>
      <c r="X81" t="str">
        <f t="shared" si="15"/>
        <v/>
      </c>
      <c r="Y81" t="str">
        <f t="shared" si="16"/>
        <v/>
      </c>
      <c r="Z81" t="str">
        <f t="shared" si="17"/>
        <v/>
      </c>
      <c r="AA81" t="str">
        <f t="shared" si="18"/>
        <v/>
      </c>
      <c r="AB81" t="str">
        <f t="shared" si="19"/>
        <v/>
      </c>
      <c r="AC81" t="str">
        <f t="shared" si="20"/>
        <v/>
      </c>
    </row>
    <row r="82" spans="1:29" x14ac:dyDescent="0.35">
      <c r="A82" s="1">
        <v>45623</v>
      </c>
      <c r="B82" s="1">
        <v>45637</v>
      </c>
      <c r="C82">
        <v>250922</v>
      </c>
      <c r="D82" t="s">
        <v>97</v>
      </c>
      <c r="E82" t="s">
        <v>32</v>
      </c>
      <c r="F82" t="s">
        <v>105</v>
      </c>
      <c r="G82" t="s">
        <v>16</v>
      </c>
      <c r="H82" t="s">
        <v>79</v>
      </c>
      <c r="I82" t="s">
        <v>75</v>
      </c>
      <c r="J82" t="s">
        <v>26</v>
      </c>
      <c r="K82" t="s">
        <v>72</v>
      </c>
      <c r="M82" t="s">
        <v>335</v>
      </c>
      <c r="T82">
        <f t="shared" si="12"/>
        <v>1</v>
      </c>
      <c r="V82" s="2" t="str">
        <f t="shared" si="13"/>
        <v>Recours d'une famille dont la fille est humiliée en permanence par son professeur de technologie, ainsi que d'autres élèves&amp;&amp;&amp;&amp;&amp;</v>
      </c>
      <c r="W82">
        <f t="shared" si="14"/>
        <v>1</v>
      </c>
      <c r="X82" t="str">
        <f t="shared" si="15"/>
        <v/>
      </c>
      <c r="Y82" t="str">
        <f t="shared" si="16"/>
        <v/>
      </c>
      <c r="Z82" t="str">
        <f t="shared" si="17"/>
        <v/>
      </c>
      <c r="AA82" t="str">
        <f t="shared" si="18"/>
        <v/>
      </c>
      <c r="AB82" t="str">
        <f t="shared" si="19"/>
        <v/>
      </c>
      <c r="AC82" t="str">
        <f t="shared" si="20"/>
        <v/>
      </c>
    </row>
    <row r="83" spans="1:29" x14ac:dyDescent="0.35">
      <c r="A83" s="1">
        <v>45623</v>
      </c>
      <c r="B83" s="1">
        <v>45623</v>
      </c>
      <c r="C83">
        <v>250926</v>
      </c>
      <c r="D83" t="s">
        <v>97</v>
      </c>
      <c r="E83" t="s">
        <v>28</v>
      </c>
      <c r="F83" t="s">
        <v>44</v>
      </c>
      <c r="G83" t="s">
        <v>16</v>
      </c>
      <c r="H83" t="s">
        <v>89</v>
      </c>
      <c r="I83" t="s">
        <v>18</v>
      </c>
      <c r="J83" t="s">
        <v>26</v>
      </c>
      <c r="K83" t="s">
        <v>25</v>
      </c>
      <c r="M83" t="s">
        <v>336</v>
      </c>
      <c r="T83">
        <f t="shared" si="12"/>
        <v>1</v>
      </c>
      <c r="V83" s="2" t="str">
        <f t="shared" si="13"/>
        <v>Exclusion avec sursis transformée en exclusion de 2 jours sans information famille-élève&amp;&amp;&amp;&amp;&amp;</v>
      </c>
      <c r="W83">
        <f t="shared" si="14"/>
        <v>1</v>
      </c>
      <c r="X83" t="str">
        <f t="shared" si="15"/>
        <v/>
      </c>
      <c r="Y83" t="str">
        <f t="shared" si="16"/>
        <v/>
      </c>
      <c r="Z83" t="str">
        <f t="shared" si="17"/>
        <v/>
      </c>
      <c r="AA83" t="str">
        <f t="shared" si="18"/>
        <v/>
      </c>
      <c r="AB83" t="str">
        <f t="shared" si="19"/>
        <v/>
      </c>
      <c r="AC83" t="str">
        <f t="shared" si="20"/>
        <v/>
      </c>
    </row>
    <row r="84" spans="1:29" x14ac:dyDescent="0.35">
      <c r="A84" s="1">
        <v>45623</v>
      </c>
      <c r="B84" s="1">
        <v>45638</v>
      </c>
      <c r="C84">
        <v>250931</v>
      </c>
      <c r="D84" t="s">
        <v>80</v>
      </c>
      <c r="E84" t="s">
        <v>28</v>
      </c>
      <c r="F84" t="s">
        <v>83</v>
      </c>
      <c r="G84" t="s">
        <v>23</v>
      </c>
      <c r="H84" t="s">
        <v>87</v>
      </c>
      <c r="I84" t="s">
        <v>18</v>
      </c>
      <c r="J84" t="s">
        <v>26</v>
      </c>
      <c r="K84" t="s">
        <v>38</v>
      </c>
      <c r="L84" t="s">
        <v>39</v>
      </c>
      <c r="M84" t="s">
        <v>210</v>
      </c>
      <c r="T84">
        <f t="shared" si="12"/>
        <v>1</v>
      </c>
      <c r="V84" s="2" t="str">
        <f t="shared" si="13"/>
        <v>Demande d'aide pour résoudre un différend au sujet de la comptabilité de l'internat. Situation résolue. Nouveau calcul effectué au bénéfice de la famille. Dette effacée et somme complémentaire à recevoir&amp;&amp;&amp;&amp;&amp;</v>
      </c>
      <c r="W84">
        <f t="shared" si="14"/>
        <v>1</v>
      </c>
      <c r="X84" t="str">
        <f t="shared" si="15"/>
        <v/>
      </c>
      <c r="Y84" t="str">
        <f t="shared" si="16"/>
        <v/>
      </c>
      <c r="Z84" t="str">
        <f t="shared" si="17"/>
        <v/>
      </c>
      <c r="AA84" t="str">
        <f t="shared" si="18"/>
        <v/>
      </c>
      <c r="AB84" t="str">
        <f t="shared" si="19"/>
        <v/>
      </c>
      <c r="AC84" t="str">
        <f t="shared" si="20"/>
        <v/>
      </c>
    </row>
    <row r="85" spans="1:29" x14ac:dyDescent="0.35">
      <c r="A85" s="1">
        <v>45623</v>
      </c>
      <c r="B85" s="1">
        <v>45639</v>
      </c>
      <c r="C85">
        <v>251086</v>
      </c>
      <c r="D85" t="s">
        <v>58</v>
      </c>
      <c r="E85" t="s">
        <v>14</v>
      </c>
      <c r="F85" t="s">
        <v>90</v>
      </c>
      <c r="G85" t="s">
        <v>36</v>
      </c>
      <c r="H85" t="s">
        <v>92</v>
      </c>
      <c r="I85" t="s">
        <v>43</v>
      </c>
      <c r="J85" t="s">
        <v>26</v>
      </c>
      <c r="K85" t="s">
        <v>38</v>
      </c>
      <c r="L85" t="s">
        <v>81</v>
      </c>
      <c r="M85" t="s">
        <v>211</v>
      </c>
      <c r="T85">
        <f t="shared" si="12"/>
        <v>1</v>
      </c>
      <c r="V85" s="2" t="str">
        <f t="shared" si="13"/>
        <v>La mère nous contacte car sa fille de 12 ans auparavant en ULIS maintenant scolarisée à domicile devrait être inscrite en GS de maternelle ce qui serait insupportable psychologiquement pour sa fille. &amp;&amp;&amp;&amp;&amp;</v>
      </c>
      <c r="W85" t="str">
        <f t="shared" si="14"/>
        <v/>
      </c>
      <c r="X85" t="str">
        <f t="shared" si="15"/>
        <v/>
      </c>
      <c r="Y85">
        <f t="shared" si="16"/>
        <v>1</v>
      </c>
      <c r="Z85" t="str">
        <f t="shared" si="17"/>
        <v/>
      </c>
      <c r="AA85" t="str">
        <f t="shared" si="18"/>
        <v/>
      </c>
      <c r="AB85" t="str">
        <f t="shared" si="19"/>
        <v/>
      </c>
      <c r="AC85" t="str">
        <f t="shared" si="20"/>
        <v/>
      </c>
    </row>
    <row r="86" spans="1:29" x14ac:dyDescent="0.35">
      <c r="A86" s="1">
        <v>45622</v>
      </c>
      <c r="B86" s="1">
        <v>45629</v>
      </c>
      <c r="C86">
        <v>250835</v>
      </c>
      <c r="D86" t="s">
        <v>97</v>
      </c>
      <c r="E86" t="s">
        <v>28</v>
      </c>
      <c r="F86" t="s">
        <v>74</v>
      </c>
      <c r="G86" t="s">
        <v>16</v>
      </c>
      <c r="H86" t="s">
        <v>89</v>
      </c>
      <c r="I86" t="s">
        <v>75</v>
      </c>
      <c r="J86" t="s">
        <v>26</v>
      </c>
      <c r="K86" t="s">
        <v>38</v>
      </c>
      <c r="L86" t="s">
        <v>81</v>
      </c>
      <c r="M86" t="s">
        <v>212</v>
      </c>
      <c r="T86">
        <f t="shared" si="12"/>
        <v>1</v>
      </c>
      <c r="V86" s="2" t="str">
        <f t="shared" si="13"/>
        <v>Parent qui conteste le traitement fait à son fils par un professeur (humiliation). Rencontre collège - famille pour tenter d'apaiser. Retour léger à une relation de confiance&amp;&amp;&amp;&amp;&amp;</v>
      </c>
      <c r="W86">
        <f t="shared" si="14"/>
        <v>1</v>
      </c>
      <c r="X86" t="str">
        <f t="shared" si="15"/>
        <v/>
      </c>
      <c r="Y86" t="str">
        <f t="shared" si="16"/>
        <v/>
      </c>
      <c r="Z86" t="str">
        <f t="shared" si="17"/>
        <v/>
      </c>
      <c r="AA86" t="str">
        <f t="shared" si="18"/>
        <v/>
      </c>
      <c r="AB86" t="str">
        <f t="shared" si="19"/>
        <v/>
      </c>
      <c r="AC86" t="str">
        <f t="shared" si="20"/>
        <v/>
      </c>
    </row>
    <row r="87" spans="1:29" x14ac:dyDescent="0.35">
      <c r="A87" s="1">
        <v>45622</v>
      </c>
      <c r="B87" s="1">
        <v>45643</v>
      </c>
      <c r="C87">
        <v>250862</v>
      </c>
      <c r="D87" t="s">
        <v>93</v>
      </c>
      <c r="E87" t="s">
        <v>32</v>
      </c>
      <c r="F87" t="s">
        <v>113</v>
      </c>
      <c r="G87" t="s">
        <v>16</v>
      </c>
      <c r="H87" t="s">
        <v>17</v>
      </c>
      <c r="I87" t="s">
        <v>61</v>
      </c>
      <c r="J87" t="s">
        <v>26</v>
      </c>
      <c r="K87" t="s">
        <v>38</v>
      </c>
      <c r="L87" t="s">
        <v>81</v>
      </c>
      <c r="M87" t="s">
        <v>213</v>
      </c>
      <c r="T87">
        <f t="shared" si="12"/>
        <v>1</v>
      </c>
      <c r="V87" s="2" t="str">
        <f t="shared" si="13"/>
        <v>le dialogue a pu être rétabli entre la famille et le directeur de l'école au sujet des difficultés relationnelles et scolaires de la jeune&amp;&amp;&amp;&amp;&amp;</v>
      </c>
      <c r="W87">
        <f t="shared" si="14"/>
        <v>1</v>
      </c>
      <c r="X87" t="str">
        <f t="shared" si="15"/>
        <v/>
      </c>
      <c r="Y87" t="str">
        <f t="shared" si="16"/>
        <v/>
      </c>
      <c r="Z87" t="str">
        <f t="shared" si="17"/>
        <v/>
      </c>
      <c r="AA87" t="str">
        <f t="shared" si="18"/>
        <v/>
      </c>
      <c r="AB87" t="str">
        <f t="shared" si="19"/>
        <v/>
      </c>
      <c r="AC87" t="str">
        <f t="shared" si="20"/>
        <v/>
      </c>
    </row>
    <row r="88" spans="1:29" x14ac:dyDescent="0.35">
      <c r="A88" s="1">
        <v>45622</v>
      </c>
      <c r="B88" s="1">
        <v>45622</v>
      </c>
      <c r="C88">
        <v>250876</v>
      </c>
      <c r="D88" t="s">
        <v>13</v>
      </c>
      <c r="E88" t="s">
        <v>28</v>
      </c>
      <c r="F88" t="s">
        <v>117</v>
      </c>
      <c r="G88" t="s">
        <v>36</v>
      </c>
      <c r="H88" t="s">
        <v>37</v>
      </c>
      <c r="I88" t="s">
        <v>61</v>
      </c>
      <c r="J88" t="s">
        <v>26</v>
      </c>
      <c r="K88" t="s">
        <v>38</v>
      </c>
      <c r="L88" t="s">
        <v>39</v>
      </c>
      <c r="M88" t="s">
        <v>214</v>
      </c>
      <c r="T88">
        <f t="shared" si="12"/>
        <v>1</v>
      </c>
      <c r="V88" s="2" t="str">
        <f t="shared" si="13"/>
        <v>Suite à du harcèlement au collège, cette élève de seconde sollicite l'autorisation d'enseignement à domicile. Recoit un avertissement pour manquement à l'oblgation scolaire. Convocation annulée&amp;&amp;&amp;&amp;&amp;</v>
      </c>
      <c r="W88" t="str">
        <f t="shared" si="14"/>
        <v/>
      </c>
      <c r="X88" t="str">
        <f t="shared" si="15"/>
        <v/>
      </c>
      <c r="Y88">
        <f t="shared" si="16"/>
        <v>1</v>
      </c>
      <c r="Z88" t="str">
        <f t="shared" si="17"/>
        <v/>
      </c>
      <c r="AA88" t="str">
        <f t="shared" si="18"/>
        <v/>
      </c>
      <c r="AB88" t="str">
        <f t="shared" si="19"/>
        <v/>
      </c>
      <c r="AC88" t="str">
        <f t="shared" si="20"/>
        <v/>
      </c>
    </row>
    <row r="89" spans="1:29" x14ac:dyDescent="0.35">
      <c r="A89" s="1">
        <v>45622</v>
      </c>
      <c r="B89" s="1">
        <v>45622</v>
      </c>
      <c r="C89">
        <v>250886</v>
      </c>
      <c r="D89" t="s">
        <v>93</v>
      </c>
      <c r="E89" t="s">
        <v>14</v>
      </c>
      <c r="F89" t="s">
        <v>90</v>
      </c>
      <c r="G89" t="s">
        <v>16</v>
      </c>
      <c r="H89" t="s">
        <v>30</v>
      </c>
      <c r="I89" t="s">
        <v>18</v>
      </c>
      <c r="J89" t="s">
        <v>26</v>
      </c>
      <c r="K89" t="s">
        <v>57</v>
      </c>
      <c r="M89" t="s">
        <v>215</v>
      </c>
      <c r="T89">
        <f t="shared" si="12"/>
        <v>1</v>
      </c>
      <c r="V89" s="2" t="str">
        <f t="shared" si="13"/>
        <v>famille appelée : ien à contacter  si le problème perdure ( pb réglé pour l'instant)&amp;&amp;&amp;&amp;&amp;</v>
      </c>
      <c r="W89">
        <f t="shared" si="14"/>
        <v>1</v>
      </c>
      <c r="X89" t="str">
        <f t="shared" si="15"/>
        <v/>
      </c>
      <c r="Y89" t="str">
        <f t="shared" si="16"/>
        <v/>
      </c>
      <c r="Z89" t="str">
        <f t="shared" si="17"/>
        <v/>
      </c>
      <c r="AA89" t="str">
        <f t="shared" si="18"/>
        <v/>
      </c>
      <c r="AB89" t="str">
        <f t="shared" si="19"/>
        <v/>
      </c>
      <c r="AC89" t="str">
        <f t="shared" si="20"/>
        <v/>
      </c>
    </row>
    <row r="90" spans="1:29" x14ac:dyDescent="0.35">
      <c r="A90" s="1">
        <v>45622</v>
      </c>
      <c r="B90" s="1">
        <v>45631</v>
      </c>
      <c r="C90">
        <v>250899</v>
      </c>
      <c r="D90" t="s">
        <v>93</v>
      </c>
      <c r="E90" t="s">
        <v>28</v>
      </c>
      <c r="F90" t="s">
        <v>29</v>
      </c>
      <c r="G90" t="s">
        <v>16</v>
      </c>
      <c r="H90" t="s">
        <v>116</v>
      </c>
      <c r="I90" t="s">
        <v>75</v>
      </c>
      <c r="J90" t="s">
        <v>26</v>
      </c>
      <c r="K90" t="s">
        <v>38</v>
      </c>
      <c r="L90" t="s">
        <v>81</v>
      </c>
      <c r="M90" t="s">
        <v>216</v>
      </c>
      <c r="T90">
        <f t="shared" si="12"/>
        <v>1</v>
      </c>
      <c r="V90" s="2" t="str">
        <f t="shared" si="13"/>
        <v>PAP pas mis en place d'après la famille : la direction du collège adresse à la médiation  les dates des nombreux rv accordés et  la liste des actions mises en place &amp;&amp;&amp;&amp;&amp;</v>
      </c>
      <c r="W90">
        <f t="shared" si="14"/>
        <v>1</v>
      </c>
      <c r="X90" t="str">
        <f t="shared" si="15"/>
        <v/>
      </c>
      <c r="Y90" t="str">
        <f t="shared" si="16"/>
        <v/>
      </c>
      <c r="Z90" t="str">
        <f t="shared" si="17"/>
        <v/>
      </c>
      <c r="AA90" t="str">
        <f t="shared" si="18"/>
        <v/>
      </c>
      <c r="AB90" t="str">
        <f t="shared" si="19"/>
        <v/>
      </c>
      <c r="AC90" t="str">
        <f t="shared" si="20"/>
        <v/>
      </c>
    </row>
    <row r="91" spans="1:29" x14ac:dyDescent="0.35">
      <c r="A91" s="1">
        <v>45622</v>
      </c>
      <c r="B91" s="1">
        <v>45624</v>
      </c>
      <c r="C91">
        <v>250916</v>
      </c>
      <c r="D91" t="s">
        <v>97</v>
      </c>
      <c r="E91" t="s">
        <v>28</v>
      </c>
      <c r="F91" t="s">
        <v>55</v>
      </c>
      <c r="G91" t="s">
        <v>16</v>
      </c>
      <c r="H91" t="s">
        <v>17</v>
      </c>
      <c r="I91" t="s">
        <v>18</v>
      </c>
      <c r="J91" t="s">
        <v>26</v>
      </c>
      <c r="K91" t="s">
        <v>25</v>
      </c>
      <c r="M91" t="s">
        <v>337</v>
      </c>
      <c r="T91">
        <f t="shared" si="12"/>
        <v>1</v>
      </c>
      <c r="V91" s="2" t="str">
        <f t="shared" si="13"/>
        <v>Suite à un dépôt de plainte (harcèlement + agression physique), l'élève est "maltraité" par la direction de l'établissement et convoqué en conseil de discipline - recours de la famille qui n'obtient plus de réponse de l'établissement&amp;&amp;&amp;&amp;&amp;</v>
      </c>
      <c r="W91">
        <f t="shared" si="14"/>
        <v>1</v>
      </c>
      <c r="X91" t="str">
        <f t="shared" si="15"/>
        <v/>
      </c>
      <c r="Y91" t="str">
        <f t="shared" si="16"/>
        <v/>
      </c>
      <c r="Z91" t="str">
        <f t="shared" si="17"/>
        <v/>
      </c>
      <c r="AA91" t="str">
        <f t="shared" si="18"/>
        <v/>
      </c>
      <c r="AB91" t="str">
        <f t="shared" si="19"/>
        <v/>
      </c>
      <c r="AC91" t="str">
        <f t="shared" si="20"/>
        <v/>
      </c>
    </row>
    <row r="92" spans="1:29" x14ac:dyDescent="0.35">
      <c r="A92" s="1">
        <v>45622</v>
      </c>
      <c r="B92" s="1">
        <v>45643</v>
      </c>
      <c r="C92">
        <v>250937</v>
      </c>
      <c r="D92" t="s">
        <v>98</v>
      </c>
      <c r="E92" t="s">
        <v>28</v>
      </c>
      <c r="F92" t="s">
        <v>29</v>
      </c>
      <c r="G92" t="s">
        <v>16</v>
      </c>
      <c r="H92" t="s">
        <v>89</v>
      </c>
      <c r="I92" t="s">
        <v>18</v>
      </c>
      <c r="J92" t="s">
        <v>26</v>
      </c>
      <c r="K92" t="s">
        <v>25</v>
      </c>
      <c r="M92" t="s">
        <v>217</v>
      </c>
      <c r="T92">
        <f t="shared" si="12"/>
        <v>1</v>
      </c>
      <c r="V92" s="2" t="str">
        <f t="shared" si="13"/>
        <v>contestation de sanction  : eleve sanctionné injustement sur dénonciation sans preuve selon la famille&amp;&amp;&amp;&amp;&amp;</v>
      </c>
      <c r="W92">
        <f t="shared" si="14"/>
        <v>1</v>
      </c>
      <c r="X92" t="str">
        <f t="shared" si="15"/>
        <v/>
      </c>
      <c r="Y92" t="str">
        <f t="shared" si="16"/>
        <v/>
      </c>
      <c r="Z92" t="str">
        <f t="shared" si="17"/>
        <v/>
      </c>
      <c r="AA92" t="str">
        <f t="shared" si="18"/>
        <v/>
      </c>
      <c r="AB92" t="str">
        <f t="shared" si="19"/>
        <v/>
      </c>
      <c r="AC92" t="str">
        <f t="shared" si="20"/>
        <v/>
      </c>
    </row>
    <row r="93" spans="1:29" x14ac:dyDescent="0.35">
      <c r="A93" s="1">
        <v>45622</v>
      </c>
      <c r="B93" s="1">
        <v>45628</v>
      </c>
      <c r="C93">
        <v>2024016497313</v>
      </c>
      <c r="D93" t="s">
        <v>78</v>
      </c>
      <c r="E93" t="s">
        <v>28</v>
      </c>
      <c r="F93" t="s">
        <v>29</v>
      </c>
      <c r="G93" t="s">
        <v>16</v>
      </c>
      <c r="H93" t="s">
        <v>69</v>
      </c>
      <c r="I93" t="s">
        <v>18</v>
      </c>
      <c r="J93" t="s">
        <v>26</v>
      </c>
      <c r="K93" t="s">
        <v>38</v>
      </c>
      <c r="L93" t="s">
        <v>81</v>
      </c>
      <c r="M93" t="s">
        <v>218</v>
      </c>
      <c r="T93">
        <f t="shared" si="12"/>
        <v>1</v>
      </c>
      <c r="V93" s="2" t="str">
        <f t="shared" si="13"/>
        <v>Echange franco-alld supprimé. Pb de récupération des finances Décision du rectorat ? 02/12 ppale. Changement application Op@le. Rectorat a dit ne pas faire voyage début 2025. Nbreux échanges avec famille. 02/12 réponds responsabilité revient à ppale.&amp;&amp;&amp;&amp;&amp;</v>
      </c>
      <c r="W93">
        <f t="shared" si="14"/>
        <v>1</v>
      </c>
      <c r="X93" t="str">
        <f t="shared" si="15"/>
        <v/>
      </c>
      <c r="Y93" t="str">
        <f t="shared" si="16"/>
        <v/>
      </c>
      <c r="Z93" t="str">
        <f t="shared" si="17"/>
        <v/>
      </c>
      <c r="AA93" t="str">
        <f t="shared" si="18"/>
        <v/>
      </c>
      <c r="AB93" t="str">
        <f t="shared" si="19"/>
        <v/>
      </c>
      <c r="AC93" t="str">
        <f t="shared" si="20"/>
        <v/>
      </c>
    </row>
    <row r="94" spans="1:29" x14ac:dyDescent="0.35">
      <c r="A94" s="1">
        <v>45621</v>
      </c>
      <c r="B94" s="1">
        <v>45636</v>
      </c>
      <c r="C94">
        <v>250755</v>
      </c>
      <c r="D94" t="s">
        <v>98</v>
      </c>
      <c r="E94" t="s">
        <v>100</v>
      </c>
      <c r="F94" t="s">
        <v>101</v>
      </c>
      <c r="G94" t="s">
        <v>91</v>
      </c>
      <c r="H94" t="s">
        <v>219</v>
      </c>
      <c r="I94" t="s">
        <v>18</v>
      </c>
      <c r="J94" t="s">
        <v>19</v>
      </c>
      <c r="M94" t="s">
        <v>220</v>
      </c>
      <c r="T94">
        <f t="shared" si="12"/>
        <v>1</v>
      </c>
      <c r="V94" s="2" t="str">
        <f t="shared" si="13"/>
        <v>Chef etab lycée privé en difficulté avec un père élève catho intégriste contestant contenus cours français - choix par le CE d'une rupture contrat établissement famille car dialogue impossible&amp;&amp;&amp;&amp;&amp;</v>
      </c>
      <c r="W94">
        <f t="shared" si="14"/>
        <v>1</v>
      </c>
      <c r="X94" t="str">
        <f t="shared" si="15"/>
        <v/>
      </c>
      <c r="Y94" t="str">
        <f t="shared" si="16"/>
        <v/>
      </c>
      <c r="Z94" t="str">
        <f t="shared" si="17"/>
        <v/>
      </c>
      <c r="AA94" t="str">
        <f t="shared" si="18"/>
        <v/>
      </c>
      <c r="AB94" t="str">
        <f t="shared" si="19"/>
        <v/>
      </c>
      <c r="AC94" t="str">
        <f t="shared" si="20"/>
        <v/>
      </c>
    </row>
    <row r="95" spans="1:29" x14ac:dyDescent="0.35">
      <c r="A95" s="1">
        <v>45621</v>
      </c>
      <c r="B95" s="1">
        <v>45631</v>
      </c>
      <c r="C95">
        <v>250756</v>
      </c>
      <c r="D95" t="s">
        <v>93</v>
      </c>
      <c r="E95" t="s">
        <v>28</v>
      </c>
      <c r="F95" t="s">
        <v>71</v>
      </c>
      <c r="G95" t="s">
        <v>36</v>
      </c>
      <c r="H95" t="s">
        <v>70</v>
      </c>
      <c r="I95" t="s">
        <v>18</v>
      </c>
      <c r="J95" t="s">
        <v>26</v>
      </c>
      <c r="K95" t="s">
        <v>38</v>
      </c>
      <c r="L95" t="s">
        <v>108</v>
      </c>
      <c r="M95" t="s">
        <v>221</v>
      </c>
      <c r="T95">
        <f t="shared" si="12"/>
        <v>1</v>
      </c>
      <c r="V95" s="2" t="str">
        <f t="shared" si="13"/>
        <v>mail à la famille 27 nov: Mail à la DIVEL 77&amp;&amp;&amp;&amp;&amp;</v>
      </c>
      <c r="W95">
        <f t="shared" si="14"/>
        <v>1</v>
      </c>
      <c r="X95" t="str">
        <f t="shared" si="15"/>
        <v/>
      </c>
      <c r="Y95" t="str">
        <f t="shared" si="16"/>
        <v/>
      </c>
      <c r="Z95" t="str">
        <f t="shared" si="17"/>
        <v/>
      </c>
      <c r="AA95" t="str">
        <f t="shared" si="18"/>
        <v/>
      </c>
      <c r="AB95" t="str">
        <f t="shared" si="19"/>
        <v/>
      </c>
      <c r="AC95" t="str">
        <f t="shared" si="20"/>
        <v/>
      </c>
    </row>
    <row r="96" spans="1:29" x14ac:dyDescent="0.35">
      <c r="A96" s="1">
        <v>45621</v>
      </c>
      <c r="B96" s="1">
        <v>45635</v>
      </c>
      <c r="C96">
        <v>250791</v>
      </c>
      <c r="D96" t="s">
        <v>109</v>
      </c>
      <c r="E96" t="s">
        <v>32</v>
      </c>
      <c r="F96" t="s">
        <v>33</v>
      </c>
      <c r="G96" t="s">
        <v>41</v>
      </c>
      <c r="H96" t="s">
        <v>42</v>
      </c>
      <c r="I96" t="s">
        <v>43</v>
      </c>
      <c r="J96" t="s">
        <v>26</v>
      </c>
      <c r="K96" t="s">
        <v>122</v>
      </c>
      <c r="M96" t="s">
        <v>222</v>
      </c>
      <c r="T96">
        <f t="shared" si="12"/>
        <v>1</v>
      </c>
      <c r="V96" s="2" t="str">
        <f t="shared" si="13"/>
        <v>Recours suite à échec à un Bachelor La famille recherche une alternance pour financer le redoublement.&amp;&amp;&amp;&amp;&amp;</v>
      </c>
      <c r="W96">
        <f t="shared" si="14"/>
        <v>1</v>
      </c>
      <c r="X96" t="str">
        <f t="shared" si="15"/>
        <v/>
      </c>
      <c r="Y96" t="str">
        <f t="shared" si="16"/>
        <v/>
      </c>
      <c r="Z96" t="str">
        <f t="shared" si="17"/>
        <v/>
      </c>
      <c r="AA96" t="str">
        <f t="shared" si="18"/>
        <v/>
      </c>
      <c r="AB96" t="str">
        <f t="shared" si="19"/>
        <v/>
      </c>
      <c r="AC96" t="str">
        <f t="shared" si="20"/>
        <v/>
      </c>
    </row>
    <row r="97" spans="1:29" x14ac:dyDescent="0.35">
      <c r="A97" s="1">
        <v>45621</v>
      </c>
      <c r="B97" s="1">
        <v>45644</v>
      </c>
      <c r="C97">
        <v>250834</v>
      </c>
      <c r="D97" t="s">
        <v>98</v>
      </c>
      <c r="E97" t="s">
        <v>28</v>
      </c>
      <c r="F97" t="s">
        <v>66</v>
      </c>
      <c r="G97" t="s">
        <v>16</v>
      </c>
      <c r="H97" t="s">
        <v>69</v>
      </c>
      <c r="I97" t="s">
        <v>18</v>
      </c>
      <c r="J97" t="s">
        <v>26</v>
      </c>
      <c r="K97" t="s">
        <v>25</v>
      </c>
      <c r="M97" t="s">
        <v>223</v>
      </c>
      <c r="T97">
        <f t="shared" si="12"/>
        <v>1</v>
      </c>
      <c r="V97" s="2" t="str">
        <f t="shared" si="13"/>
        <v>contestation famille car élève placé en groupe de niveau faible - CLG contacté, dossier suivi, explications données mais la mère ne veut pas admettre les difficultés&amp;&amp;&amp;&amp;&amp;</v>
      </c>
      <c r="W97">
        <f t="shared" si="14"/>
        <v>1</v>
      </c>
      <c r="X97" t="str">
        <f t="shared" si="15"/>
        <v/>
      </c>
      <c r="Y97" t="str">
        <f t="shared" si="16"/>
        <v/>
      </c>
      <c r="Z97" t="str">
        <f t="shared" si="17"/>
        <v/>
      </c>
      <c r="AA97" t="str">
        <f t="shared" si="18"/>
        <v/>
      </c>
      <c r="AB97" t="str">
        <f t="shared" si="19"/>
        <v/>
      </c>
      <c r="AC97" t="str">
        <f t="shared" si="20"/>
        <v/>
      </c>
    </row>
    <row r="98" spans="1:29" x14ac:dyDescent="0.35">
      <c r="A98" s="1">
        <v>45621</v>
      </c>
      <c r="B98" s="1">
        <v>45635</v>
      </c>
      <c r="C98">
        <v>250837</v>
      </c>
      <c r="D98" t="s">
        <v>98</v>
      </c>
      <c r="E98" t="s">
        <v>28</v>
      </c>
      <c r="F98" t="s">
        <v>55</v>
      </c>
      <c r="G98" t="s">
        <v>16</v>
      </c>
      <c r="H98" t="s">
        <v>89</v>
      </c>
      <c r="I98" t="s">
        <v>18</v>
      </c>
      <c r="J98" t="s">
        <v>26</v>
      </c>
      <c r="K98" t="s">
        <v>38</v>
      </c>
      <c r="L98" t="s">
        <v>39</v>
      </c>
      <c r="M98" t="s">
        <v>224</v>
      </c>
      <c r="T98">
        <f t="shared" ref="T98:T129" si="21">IF(SUM(W98:AC98)&gt;0,1,"")</f>
        <v>1</v>
      </c>
      <c r="V98" s="2" t="str">
        <f t="shared" si="13"/>
        <v>Contestation sanction et demande suppression courrier dans dossier Courrier AR le 26 nov Contact avec CE. A bcp échanger avec famille. Retirera courrier en fin année scolaire. Requérant OK&amp;&amp;&amp;&amp;&amp;</v>
      </c>
      <c r="W98">
        <f t="shared" si="14"/>
        <v>1</v>
      </c>
      <c r="X98" t="str">
        <f t="shared" si="15"/>
        <v/>
      </c>
      <c r="Y98" t="str">
        <f t="shared" si="16"/>
        <v/>
      </c>
      <c r="Z98" t="str">
        <f t="shared" si="17"/>
        <v/>
      </c>
      <c r="AA98" t="str">
        <f t="shared" si="18"/>
        <v/>
      </c>
      <c r="AB98" t="str">
        <f t="shared" si="19"/>
        <v/>
      </c>
      <c r="AC98" t="str">
        <f t="shared" si="20"/>
        <v/>
      </c>
    </row>
    <row r="99" spans="1:29" x14ac:dyDescent="0.35">
      <c r="A99" s="1">
        <v>45621</v>
      </c>
      <c r="B99" s="1">
        <v>45638</v>
      </c>
      <c r="C99">
        <v>250909</v>
      </c>
      <c r="D99" t="s">
        <v>35</v>
      </c>
      <c r="E99" t="s">
        <v>28</v>
      </c>
      <c r="F99" t="s">
        <v>29</v>
      </c>
      <c r="G99" t="s">
        <v>16</v>
      </c>
      <c r="H99" t="s">
        <v>116</v>
      </c>
      <c r="I99" t="s">
        <v>43</v>
      </c>
      <c r="J99" t="s">
        <v>26</v>
      </c>
      <c r="K99" t="s">
        <v>38</v>
      </c>
      <c r="L99" t="s">
        <v>39</v>
      </c>
      <c r="M99" t="s">
        <v>225</v>
      </c>
      <c r="T99">
        <f t="shared" si="21"/>
        <v>1</v>
      </c>
      <c r="V99" s="2" t="str">
        <f t="shared" si="13"/>
        <v>UOCOL: Famille souhaite 5 enseignements réglementés CNED. Le formulaire mentionne 4 maxi. Possibilité de demander CNED en totalité par la famille. Médiateur CNED informé prend le dossier en charge.&amp;&amp;&amp;&amp;&amp;</v>
      </c>
      <c r="W99">
        <f t="shared" si="14"/>
        <v>1</v>
      </c>
      <c r="X99" t="str">
        <f t="shared" si="15"/>
        <v/>
      </c>
      <c r="Y99" t="str">
        <f t="shared" si="16"/>
        <v/>
      </c>
      <c r="Z99" t="str">
        <f t="shared" si="17"/>
        <v/>
      </c>
      <c r="AA99" t="str">
        <f t="shared" si="18"/>
        <v/>
      </c>
      <c r="AB99" t="str">
        <f t="shared" si="19"/>
        <v/>
      </c>
      <c r="AC99" t="str">
        <f t="shared" si="20"/>
        <v/>
      </c>
    </row>
    <row r="100" spans="1:29" x14ac:dyDescent="0.35">
      <c r="A100" s="1">
        <v>45618</v>
      </c>
      <c r="B100" s="1">
        <v>45629</v>
      </c>
      <c r="C100">
        <v>250698</v>
      </c>
      <c r="D100" t="s">
        <v>46</v>
      </c>
      <c r="E100" t="s">
        <v>14</v>
      </c>
      <c r="F100" t="s">
        <v>15</v>
      </c>
      <c r="G100" t="s">
        <v>16</v>
      </c>
      <c r="H100" t="s">
        <v>69</v>
      </c>
      <c r="I100" t="s">
        <v>18</v>
      </c>
      <c r="J100" t="s">
        <v>19</v>
      </c>
      <c r="M100" t="s">
        <v>226</v>
      </c>
      <c r="T100">
        <f t="shared" si="21"/>
        <v>1</v>
      </c>
      <c r="V100" s="2" t="str">
        <f t="shared" si="13"/>
        <v>élève blessé pendant récré. pas d'info à la famille&amp;&amp;&amp;&amp;&amp;</v>
      </c>
      <c r="W100">
        <f t="shared" si="14"/>
        <v>1</v>
      </c>
      <c r="X100" t="str">
        <f t="shared" si="15"/>
        <v/>
      </c>
      <c r="Y100" t="str">
        <f t="shared" si="16"/>
        <v/>
      </c>
      <c r="Z100" t="str">
        <f t="shared" si="17"/>
        <v/>
      </c>
      <c r="AA100" t="str">
        <f t="shared" si="18"/>
        <v/>
      </c>
      <c r="AB100" t="str">
        <f t="shared" si="19"/>
        <v/>
      </c>
      <c r="AC100" t="str">
        <f t="shared" si="20"/>
        <v/>
      </c>
    </row>
    <row r="101" spans="1:29" x14ac:dyDescent="0.35">
      <c r="A101" s="1">
        <v>45618</v>
      </c>
      <c r="B101" s="1">
        <v>45619</v>
      </c>
      <c r="C101">
        <v>250727</v>
      </c>
      <c r="D101" t="s">
        <v>63</v>
      </c>
      <c r="E101" t="s">
        <v>28</v>
      </c>
      <c r="F101" t="s">
        <v>55</v>
      </c>
      <c r="G101" t="s">
        <v>16</v>
      </c>
      <c r="H101" t="s">
        <v>59</v>
      </c>
      <c r="I101" t="s">
        <v>75</v>
      </c>
      <c r="J101" t="s">
        <v>19</v>
      </c>
      <c r="M101" t="s">
        <v>227</v>
      </c>
      <c r="T101">
        <f t="shared" si="21"/>
        <v>1</v>
      </c>
      <c r="V101" s="2" t="str">
        <f t="shared" si="13"/>
        <v>Conflit famille établissement à propos de la réponse au stage en entreprise. &amp;&amp;&amp;&amp;&amp;</v>
      </c>
      <c r="W101">
        <f t="shared" si="14"/>
        <v>1</v>
      </c>
      <c r="X101" t="str">
        <f t="shared" si="15"/>
        <v/>
      </c>
      <c r="Y101" t="str">
        <f t="shared" si="16"/>
        <v/>
      </c>
      <c r="Z101" t="str">
        <f t="shared" si="17"/>
        <v/>
      </c>
      <c r="AA101" t="str">
        <f t="shared" si="18"/>
        <v/>
      </c>
      <c r="AB101" t="str">
        <f t="shared" si="19"/>
        <v/>
      </c>
      <c r="AC101" t="str">
        <f t="shared" si="20"/>
        <v/>
      </c>
    </row>
    <row r="102" spans="1:29" x14ac:dyDescent="0.35">
      <c r="A102" s="1">
        <v>45617</v>
      </c>
      <c r="B102" s="1">
        <v>45630</v>
      </c>
      <c r="C102">
        <v>250669</v>
      </c>
      <c r="D102" t="s">
        <v>119</v>
      </c>
      <c r="E102" t="s">
        <v>28</v>
      </c>
      <c r="F102" t="s">
        <v>29</v>
      </c>
      <c r="G102" t="s">
        <v>16</v>
      </c>
      <c r="H102" t="s">
        <v>79</v>
      </c>
      <c r="I102" t="s">
        <v>61</v>
      </c>
      <c r="J102" t="s">
        <v>26</v>
      </c>
      <c r="K102" t="s">
        <v>38</v>
      </c>
      <c r="L102" t="s">
        <v>39</v>
      </c>
      <c r="M102" t="s">
        <v>338</v>
      </c>
      <c r="T102">
        <f t="shared" si="21"/>
        <v>1</v>
      </c>
      <c r="V102" s="2" t="str">
        <f t="shared" si="13"/>
        <v>Entretien tél avec médiatrice qui demande récit écrit des faits et transmet à cellule harcèlement. Décembre : remerciements de la famille.&amp;&amp;&amp;&amp;&amp;</v>
      </c>
      <c r="W102">
        <f t="shared" si="14"/>
        <v>1</v>
      </c>
      <c r="X102" t="str">
        <f t="shared" si="15"/>
        <v/>
      </c>
      <c r="Y102" t="str">
        <f t="shared" si="16"/>
        <v/>
      </c>
      <c r="Z102" t="str">
        <f t="shared" si="17"/>
        <v/>
      </c>
      <c r="AA102" t="str">
        <f t="shared" si="18"/>
        <v/>
      </c>
      <c r="AB102" t="str">
        <f t="shared" si="19"/>
        <v/>
      </c>
      <c r="AC102" t="str">
        <f t="shared" si="20"/>
        <v/>
      </c>
    </row>
    <row r="103" spans="1:29" x14ac:dyDescent="0.35">
      <c r="A103" s="1">
        <v>45616</v>
      </c>
      <c r="B103" s="1">
        <v>45636</v>
      </c>
      <c r="C103">
        <v>250515</v>
      </c>
      <c r="D103" t="s">
        <v>93</v>
      </c>
      <c r="E103" t="s">
        <v>28</v>
      </c>
      <c r="F103" t="s">
        <v>55</v>
      </c>
      <c r="G103" t="s">
        <v>16</v>
      </c>
      <c r="H103" t="s">
        <v>89</v>
      </c>
      <c r="I103" t="s">
        <v>75</v>
      </c>
      <c r="J103" t="s">
        <v>26</v>
      </c>
      <c r="K103" t="s">
        <v>38</v>
      </c>
      <c r="L103" t="s">
        <v>81</v>
      </c>
      <c r="M103" t="s">
        <v>228</v>
      </c>
      <c r="T103">
        <f t="shared" si="21"/>
        <v>1</v>
      </c>
      <c r="V103" s="2" t="str">
        <f t="shared" si="13"/>
        <v>conflit avec le collège : conseils donnés, principale qui confirme les pb d 'indiscipline mais la famille refuse le rv proposé &amp;&amp;&amp;&amp;&amp;</v>
      </c>
      <c r="W103">
        <f t="shared" si="14"/>
        <v>1</v>
      </c>
      <c r="X103" t="str">
        <f t="shared" si="15"/>
        <v/>
      </c>
      <c r="Y103" t="str">
        <f t="shared" si="16"/>
        <v/>
      </c>
      <c r="Z103" t="str">
        <f t="shared" si="17"/>
        <v/>
      </c>
      <c r="AA103" t="str">
        <f t="shared" si="18"/>
        <v/>
      </c>
      <c r="AB103" t="str">
        <f t="shared" si="19"/>
        <v/>
      </c>
      <c r="AC103" t="str">
        <f t="shared" si="20"/>
        <v/>
      </c>
    </row>
    <row r="104" spans="1:29" x14ac:dyDescent="0.35">
      <c r="A104" s="1">
        <v>45616</v>
      </c>
      <c r="B104" s="1">
        <v>45628</v>
      </c>
      <c r="C104">
        <v>250557</v>
      </c>
      <c r="D104" t="s">
        <v>46</v>
      </c>
      <c r="E104" t="s">
        <v>28</v>
      </c>
      <c r="F104" t="s">
        <v>66</v>
      </c>
      <c r="G104" t="s">
        <v>16</v>
      </c>
      <c r="H104" t="s">
        <v>69</v>
      </c>
      <c r="I104" t="s">
        <v>75</v>
      </c>
      <c r="J104" t="s">
        <v>26</v>
      </c>
      <c r="K104" t="s">
        <v>38</v>
      </c>
      <c r="L104" t="s">
        <v>39</v>
      </c>
      <c r="M104" t="s">
        <v>229</v>
      </c>
      <c r="T104">
        <f t="shared" si="21"/>
        <v>1</v>
      </c>
      <c r="V104" s="2" t="str">
        <f t="shared" si="13"/>
        <v>Sanction suite port du bermuda contact CE affaire réglée par le CE après entretien avec famille&amp;&amp;&amp;&amp;&amp;</v>
      </c>
      <c r="W104">
        <f t="shared" si="14"/>
        <v>1</v>
      </c>
      <c r="X104" t="str">
        <f t="shared" si="15"/>
        <v/>
      </c>
      <c r="Y104" t="str">
        <f t="shared" si="16"/>
        <v/>
      </c>
      <c r="Z104" t="str">
        <f t="shared" si="17"/>
        <v/>
      </c>
      <c r="AA104" t="str">
        <f t="shared" si="18"/>
        <v/>
      </c>
      <c r="AB104" t="str">
        <f t="shared" si="19"/>
        <v/>
      </c>
      <c r="AC104" t="str">
        <f t="shared" si="20"/>
        <v/>
      </c>
    </row>
    <row r="105" spans="1:29" x14ac:dyDescent="0.35">
      <c r="A105" s="1">
        <v>45615</v>
      </c>
      <c r="B105" s="1">
        <v>45621</v>
      </c>
      <c r="C105">
        <v>250445</v>
      </c>
      <c r="D105" t="s">
        <v>109</v>
      </c>
      <c r="E105" t="s">
        <v>14</v>
      </c>
      <c r="F105" t="s">
        <v>90</v>
      </c>
      <c r="G105" t="s">
        <v>16</v>
      </c>
      <c r="H105" t="s">
        <v>89</v>
      </c>
      <c r="I105" t="s">
        <v>18</v>
      </c>
      <c r="J105" t="s">
        <v>26</v>
      </c>
      <c r="K105" t="s">
        <v>25</v>
      </c>
      <c r="M105" t="s">
        <v>230</v>
      </c>
      <c r="T105">
        <f t="shared" si="21"/>
        <v>1</v>
      </c>
      <c r="V105" s="2" t="str">
        <f t="shared" si="13"/>
        <v>Père se plaint d'actes de violence de la part d'un enfant de maternelle sur ses filles Explications détaillées fournies par le Directeur IEN recevra famille avec Directeur&amp;&amp;&amp;&amp;&amp;</v>
      </c>
      <c r="W105">
        <f t="shared" si="14"/>
        <v>1</v>
      </c>
      <c r="X105" t="str">
        <f t="shared" si="15"/>
        <v/>
      </c>
      <c r="Y105" t="str">
        <f t="shared" si="16"/>
        <v/>
      </c>
      <c r="Z105" t="str">
        <f t="shared" si="17"/>
        <v/>
      </c>
      <c r="AA105" t="str">
        <f t="shared" si="18"/>
        <v/>
      </c>
      <c r="AB105" t="str">
        <f t="shared" si="19"/>
        <v/>
      </c>
      <c r="AC105" t="str">
        <f t="shared" si="20"/>
        <v/>
      </c>
    </row>
    <row r="106" spans="1:29" x14ac:dyDescent="0.35">
      <c r="A106" s="1">
        <v>45615</v>
      </c>
      <c r="B106" s="1">
        <v>45644</v>
      </c>
      <c r="C106">
        <v>250478</v>
      </c>
      <c r="D106" t="s">
        <v>20</v>
      </c>
      <c r="E106" t="s">
        <v>28</v>
      </c>
      <c r="F106" t="s">
        <v>117</v>
      </c>
      <c r="G106" t="s">
        <v>36</v>
      </c>
      <c r="H106" t="s">
        <v>70</v>
      </c>
      <c r="I106" t="s">
        <v>18</v>
      </c>
      <c r="J106" t="s">
        <v>26</v>
      </c>
      <c r="K106" t="s">
        <v>38</v>
      </c>
      <c r="L106" t="s">
        <v>112</v>
      </c>
      <c r="M106" t="s">
        <v>231</v>
      </c>
      <c r="T106">
        <f t="shared" si="21"/>
        <v>1</v>
      </c>
      <c r="V106" s="2" t="str">
        <f t="shared" si="13"/>
        <v>Elève en seconde dont l'établissement est à une heure et demie du domicile alors qu'il habite à côté du lycée de secteur.&amp;&amp;&amp;&amp;&amp;</v>
      </c>
      <c r="W106" t="str">
        <f t="shared" si="14"/>
        <v/>
      </c>
      <c r="X106" t="str">
        <f t="shared" si="15"/>
        <v/>
      </c>
      <c r="Y106">
        <f t="shared" si="16"/>
        <v>1</v>
      </c>
      <c r="Z106" t="str">
        <f t="shared" si="17"/>
        <v/>
      </c>
      <c r="AA106" t="str">
        <f t="shared" si="18"/>
        <v/>
      </c>
      <c r="AB106" t="str">
        <f t="shared" si="19"/>
        <v/>
      </c>
      <c r="AC106" t="str">
        <f t="shared" si="20"/>
        <v/>
      </c>
    </row>
    <row r="107" spans="1:29" x14ac:dyDescent="0.35">
      <c r="A107" s="1">
        <v>45615</v>
      </c>
      <c r="B107" s="1">
        <v>45626</v>
      </c>
      <c r="C107">
        <v>250948</v>
      </c>
      <c r="D107" t="s">
        <v>27</v>
      </c>
      <c r="E107" t="s">
        <v>28</v>
      </c>
      <c r="F107" t="s">
        <v>83</v>
      </c>
      <c r="G107" t="s">
        <v>16</v>
      </c>
      <c r="H107" t="s">
        <v>59</v>
      </c>
      <c r="I107" t="s">
        <v>75</v>
      </c>
      <c r="J107" t="s">
        <v>26</v>
      </c>
      <c r="K107" t="s">
        <v>25</v>
      </c>
      <c r="M107" t="s">
        <v>232</v>
      </c>
      <c r="T107">
        <f t="shared" si="21"/>
        <v>1</v>
      </c>
      <c r="V107" s="2" t="str">
        <f t="shared" si="13"/>
        <v>litige concernant les PFMP. La famille doit rencontrer le proviseur du lycée.&amp;&amp;&amp;&amp;&amp;</v>
      </c>
      <c r="W107">
        <f t="shared" si="14"/>
        <v>1</v>
      </c>
      <c r="X107" t="str">
        <f t="shared" si="15"/>
        <v/>
      </c>
      <c r="Y107" t="str">
        <f t="shared" si="16"/>
        <v/>
      </c>
      <c r="Z107" t="str">
        <f t="shared" si="17"/>
        <v/>
      </c>
      <c r="AA107" t="str">
        <f t="shared" si="18"/>
        <v/>
      </c>
      <c r="AB107" t="str">
        <f t="shared" si="19"/>
        <v/>
      </c>
      <c r="AC107" t="str">
        <f t="shared" si="20"/>
        <v/>
      </c>
    </row>
    <row r="108" spans="1:29" x14ac:dyDescent="0.35">
      <c r="A108" s="1">
        <v>45615</v>
      </c>
      <c r="B108" s="1">
        <v>45647</v>
      </c>
      <c r="C108">
        <v>2024016470722</v>
      </c>
      <c r="D108" t="s">
        <v>31</v>
      </c>
      <c r="E108" t="s">
        <v>28</v>
      </c>
      <c r="F108" t="s">
        <v>55</v>
      </c>
      <c r="G108" t="s">
        <v>36</v>
      </c>
      <c r="H108" t="s">
        <v>67</v>
      </c>
      <c r="I108" t="s">
        <v>18</v>
      </c>
      <c r="J108" t="s">
        <v>26</v>
      </c>
      <c r="K108" t="s">
        <v>38</v>
      </c>
      <c r="L108" t="s">
        <v>39</v>
      </c>
      <c r="M108" t="s">
        <v>233</v>
      </c>
      <c r="T108">
        <f t="shared" si="21"/>
        <v>1</v>
      </c>
      <c r="V108" s="2" t="str">
        <f t="shared" si="13"/>
        <v>Pb tests CASNAV Défenseur des Droits alerte sur une famille SDF avec résidence adm à Paris qui n'a pu passer les tests CASNAV. Ai sollicité CASNAV qui accepte de les tester le 29 11 2024. &amp;&amp;&amp;&amp;&amp;</v>
      </c>
      <c r="W108">
        <f t="shared" si="14"/>
        <v>1</v>
      </c>
      <c r="X108" t="str">
        <f t="shared" si="15"/>
        <v/>
      </c>
      <c r="Y108" t="str">
        <f t="shared" si="16"/>
        <v/>
      </c>
      <c r="Z108" t="str">
        <f t="shared" si="17"/>
        <v/>
      </c>
      <c r="AA108" t="str">
        <f t="shared" si="18"/>
        <v/>
      </c>
      <c r="AB108" t="str">
        <f t="shared" si="19"/>
        <v/>
      </c>
      <c r="AC108" t="str">
        <f t="shared" si="20"/>
        <v/>
      </c>
    </row>
    <row r="109" spans="1:29" x14ac:dyDescent="0.35">
      <c r="A109" s="1">
        <v>45614</v>
      </c>
      <c r="B109" s="1">
        <v>45615</v>
      </c>
      <c r="C109">
        <v>250377</v>
      </c>
      <c r="D109" t="s">
        <v>80</v>
      </c>
      <c r="E109" t="s">
        <v>28</v>
      </c>
      <c r="F109" t="s">
        <v>47</v>
      </c>
      <c r="G109" t="s">
        <v>16</v>
      </c>
      <c r="H109" t="s">
        <v>59</v>
      </c>
      <c r="I109" t="s">
        <v>18</v>
      </c>
      <c r="J109" t="s">
        <v>26</v>
      </c>
      <c r="K109" t="s">
        <v>122</v>
      </c>
      <c r="M109" t="s">
        <v>234</v>
      </c>
      <c r="T109">
        <f t="shared" si="21"/>
        <v>1</v>
      </c>
      <c r="V109" s="2" t="str">
        <f t="shared" si="13"/>
        <v>Demande aide pour la signature d'un stage 2nde ASSP dans un autre département après refus départ. accueil hors académie. Stage trouvé à proximité domicile par famille&amp;&amp;&amp;&amp;&amp;</v>
      </c>
      <c r="W109">
        <f t="shared" si="14"/>
        <v>1</v>
      </c>
      <c r="X109" t="str">
        <f t="shared" si="15"/>
        <v/>
      </c>
      <c r="Y109">
        <f t="shared" si="16"/>
        <v>1</v>
      </c>
      <c r="Z109" t="str">
        <f t="shared" si="17"/>
        <v/>
      </c>
      <c r="AA109" t="str">
        <f t="shared" si="18"/>
        <v/>
      </c>
      <c r="AB109" t="str">
        <f t="shared" si="19"/>
        <v/>
      </c>
      <c r="AC109" t="str">
        <f t="shared" si="20"/>
        <v/>
      </c>
    </row>
    <row r="110" spans="1:29" x14ac:dyDescent="0.35">
      <c r="A110" s="1">
        <v>45614</v>
      </c>
      <c r="B110" s="1">
        <v>45617</v>
      </c>
      <c r="C110">
        <v>250380</v>
      </c>
      <c r="D110" t="s">
        <v>97</v>
      </c>
      <c r="E110" t="s">
        <v>28</v>
      </c>
      <c r="F110" t="s">
        <v>117</v>
      </c>
      <c r="G110" t="s">
        <v>16</v>
      </c>
      <c r="H110" t="s">
        <v>89</v>
      </c>
      <c r="I110" t="s">
        <v>75</v>
      </c>
      <c r="J110" t="s">
        <v>26</v>
      </c>
      <c r="K110" t="s">
        <v>25</v>
      </c>
      <c r="M110" t="s">
        <v>235</v>
      </c>
      <c r="N110" t="s">
        <v>236</v>
      </c>
      <c r="T110">
        <f t="shared" si="21"/>
        <v>1</v>
      </c>
      <c r="V110" s="2" t="str">
        <f t="shared" si="13"/>
        <v>VH - exclusion temporaire d'une journée &amp; recours de la famille pour motif injustifié&amp;&amp;&amp;&amp;</v>
      </c>
      <c r="W110">
        <f t="shared" si="14"/>
        <v>1</v>
      </c>
      <c r="X110" t="str">
        <f t="shared" si="15"/>
        <v/>
      </c>
      <c r="Y110" t="str">
        <f t="shared" si="16"/>
        <v/>
      </c>
      <c r="Z110" t="str">
        <f t="shared" si="17"/>
        <v/>
      </c>
      <c r="AA110" t="str">
        <f t="shared" si="18"/>
        <v/>
      </c>
      <c r="AB110" t="str">
        <f t="shared" si="19"/>
        <v/>
      </c>
      <c r="AC110" t="str">
        <f t="shared" si="20"/>
        <v/>
      </c>
    </row>
    <row r="111" spans="1:29" x14ac:dyDescent="0.35">
      <c r="A111" s="1">
        <v>45614</v>
      </c>
      <c r="B111" s="1">
        <v>45618</v>
      </c>
      <c r="C111">
        <v>250475</v>
      </c>
      <c r="D111" t="s">
        <v>20</v>
      </c>
      <c r="E111" t="s">
        <v>28</v>
      </c>
      <c r="F111" t="s">
        <v>55</v>
      </c>
      <c r="G111" t="s">
        <v>36</v>
      </c>
      <c r="H111" t="s">
        <v>67</v>
      </c>
      <c r="I111" t="s">
        <v>18</v>
      </c>
      <c r="J111" t="s">
        <v>26</v>
      </c>
      <c r="K111" t="s">
        <v>57</v>
      </c>
      <c r="M111" t="s">
        <v>237</v>
      </c>
      <c r="T111">
        <f t="shared" si="21"/>
        <v>1</v>
      </c>
      <c r="V111" s="2" t="str">
        <f t="shared" si="13"/>
        <v>Elève agressé à la sortie du collège. Mère qui demande un collège plus près du domicile. Appel téléphonique à la mère. Affaire règlée&amp;&amp;&amp;&amp;&amp;</v>
      </c>
      <c r="W111" t="str">
        <f t="shared" si="14"/>
        <v/>
      </c>
      <c r="X111" t="str">
        <f t="shared" si="15"/>
        <v/>
      </c>
      <c r="Y111">
        <f t="shared" si="16"/>
        <v>1</v>
      </c>
      <c r="Z111" t="str">
        <f t="shared" si="17"/>
        <v/>
      </c>
      <c r="AA111" t="str">
        <f t="shared" si="18"/>
        <v/>
      </c>
      <c r="AB111" t="str">
        <f t="shared" si="19"/>
        <v/>
      </c>
      <c r="AC111" t="str">
        <f t="shared" si="20"/>
        <v/>
      </c>
    </row>
    <row r="112" spans="1:29" x14ac:dyDescent="0.35">
      <c r="A112" s="1">
        <v>45614</v>
      </c>
      <c r="B112" s="1">
        <v>45643</v>
      </c>
      <c r="C112">
        <v>250740</v>
      </c>
      <c r="D112" t="s">
        <v>73</v>
      </c>
      <c r="E112" t="s">
        <v>14</v>
      </c>
      <c r="F112" t="s">
        <v>90</v>
      </c>
      <c r="G112" t="s">
        <v>16</v>
      </c>
      <c r="H112" t="s">
        <v>17</v>
      </c>
      <c r="I112" t="s">
        <v>18</v>
      </c>
      <c r="J112" t="s">
        <v>26</v>
      </c>
      <c r="K112" t="s">
        <v>38</v>
      </c>
      <c r="L112" t="s">
        <v>39</v>
      </c>
      <c r="M112" t="s">
        <v>238</v>
      </c>
      <c r="T112">
        <f t="shared" si="21"/>
        <v>1</v>
      </c>
      <c r="V112" s="2" t="str">
        <f t="shared" si="13"/>
        <v>La requérante se plaint de ce que son fils appréhende d'aller à l'école certains jours. J'informe l'IEN. Un dialogue renforcé s'instaure entre la famille et l'école et l'enfant retrouve une certaine sérénité.&amp;&amp;&amp;&amp;&amp;</v>
      </c>
      <c r="W112">
        <f t="shared" si="14"/>
        <v>1</v>
      </c>
      <c r="X112" t="str">
        <f t="shared" si="15"/>
        <v/>
      </c>
      <c r="Y112" t="str">
        <f t="shared" si="16"/>
        <v/>
      </c>
      <c r="Z112" t="str">
        <f t="shared" si="17"/>
        <v/>
      </c>
      <c r="AA112" t="str">
        <f t="shared" si="18"/>
        <v/>
      </c>
      <c r="AB112" t="str">
        <f t="shared" si="19"/>
        <v/>
      </c>
      <c r="AC112" t="str">
        <f t="shared" si="20"/>
        <v/>
      </c>
    </row>
    <row r="113" spans="1:29" x14ac:dyDescent="0.35">
      <c r="A113" s="1">
        <v>45614</v>
      </c>
      <c r="B113" s="1">
        <v>45621</v>
      </c>
      <c r="C113">
        <v>250777</v>
      </c>
      <c r="D113" t="s">
        <v>40</v>
      </c>
      <c r="E113" t="s">
        <v>28</v>
      </c>
      <c r="F113" t="s">
        <v>71</v>
      </c>
      <c r="G113" t="s">
        <v>41</v>
      </c>
      <c r="H113" t="s">
        <v>141</v>
      </c>
      <c r="I113" t="s">
        <v>43</v>
      </c>
      <c r="J113" t="s">
        <v>26</v>
      </c>
      <c r="K113" t="s">
        <v>25</v>
      </c>
      <c r="M113" t="s">
        <v>239</v>
      </c>
      <c r="T113">
        <f t="shared" si="21"/>
        <v>1</v>
      </c>
      <c r="V113" s="2" t="str">
        <f t="shared" si="13"/>
        <v>candidate handicap a eu aménagements épreuves DNB mais famille ne semble pas avoir déposé dde tiers temps dans délais impartis inscription au bac-pas possible de l'aider si dde hors délai&amp;&amp;&amp;&amp;&amp;</v>
      </c>
      <c r="W113">
        <f t="shared" si="14"/>
        <v>1</v>
      </c>
      <c r="X113" t="str">
        <f t="shared" si="15"/>
        <v/>
      </c>
      <c r="Y113" t="str">
        <f t="shared" si="16"/>
        <v/>
      </c>
      <c r="Z113" t="str">
        <f t="shared" si="17"/>
        <v/>
      </c>
      <c r="AA113" t="str">
        <f t="shared" si="18"/>
        <v/>
      </c>
      <c r="AB113" t="str">
        <f t="shared" si="19"/>
        <v/>
      </c>
      <c r="AC113" t="str">
        <f t="shared" si="20"/>
        <v/>
      </c>
    </row>
    <row r="114" spans="1:29" x14ac:dyDescent="0.35">
      <c r="A114" s="1">
        <v>45614</v>
      </c>
      <c r="B114" s="1">
        <v>45638</v>
      </c>
      <c r="C114">
        <v>251659</v>
      </c>
      <c r="D114" t="s">
        <v>82</v>
      </c>
      <c r="E114" t="s">
        <v>14</v>
      </c>
      <c r="F114" t="s">
        <v>15</v>
      </c>
      <c r="G114" t="s">
        <v>16</v>
      </c>
      <c r="H114" t="s">
        <v>132</v>
      </c>
      <c r="I114" t="s">
        <v>43</v>
      </c>
      <c r="J114" t="s">
        <v>26</v>
      </c>
      <c r="K114" t="s">
        <v>38</v>
      </c>
      <c r="L114" t="s">
        <v>39</v>
      </c>
      <c r="M114" t="s">
        <v>240</v>
      </c>
      <c r="T114">
        <f t="shared" si="21"/>
        <v>1</v>
      </c>
      <c r="V114" s="2" t="str">
        <f t="shared" si="13"/>
        <v>Handicapée à 80%. Attribution AESH par la mDA, mais pas effective à l'école.  A la demande de l'IEN AESH, dossier trs,féré à l'IEN AVS de secteur pour instruction&amp;&amp;&amp;&amp;&amp;</v>
      </c>
      <c r="W114" t="str">
        <f t="shared" si="14"/>
        <v/>
      </c>
      <c r="X114">
        <f t="shared" si="15"/>
        <v>1</v>
      </c>
      <c r="Y114" t="str">
        <f t="shared" si="16"/>
        <v/>
      </c>
      <c r="Z114" t="str">
        <f t="shared" si="17"/>
        <v/>
      </c>
      <c r="AA114" t="str">
        <f t="shared" si="18"/>
        <v/>
      </c>
      <c r="AB114" t="str">
        <f t="shared" si="19"/>
        <v/>
      </c>
      <c r="AC114" t="str">
        <f t="shared" si="20"/>
        <v/>
      </c>
    </row>
    <row r="115" spans="1:29" x14ac:dyDescent="0.35">
      <c r="A115" s="1">
        <v>45612</v>
      </c>
      <c r="B115" s="1">
        <v>45617</v>
      </c>
      <c r="C115">
        <v>250241</v>
      </c>
      <c r="D115" t="s">
        <v>111</v>
      </c>
      <c r="E115" t="s">
        <v>28</v>
      </c>
      <c r="F115" t="s">
        <v>117</v>
      </c>
      <c r="G115" t="s">
        <v>23</v>
      </c>
      <c r="H115" t="s">
        <v>87</v>
      </c>
      <c r="I115" t="s">
        <v>18</v>
      </c>
      <c r="J115" t="s">
        <v>26</v>
      </c>
      <c r="K115" t="s">
        <v>25</v>
      </c>
      <c r="M115" t="s">
        <v>241</v>
      </c>
      <c r="T115">
        <f t="shared" si="21"/>
        <v>1</v>
      </c>
      <c r="V115" s="2" t="str">
        <f t="shared" si="13"/>
        <v>Un père de famille se plaint que le rectorat a mis àsa charge les frais de cantine de son fils alors qu'il considère que cela relève de son ex-femme&amp;&amp;&amp;&amp;&amp;</v>
      </c>
      <c r="W115">
        <f t="shared" si="14"/>
        <v>1</v>
      </c>
      <c r="X115" t="str">
        <f t="shared" si="15"/>
        <v/>
      </c>
      <c r="Y115" t="str">
        <f t="shared" si="16"/>
        <v/>
      </c>
      <c r="Z115" t="str">
        <f t="shared" si="17"/>
        <v/>
      </c>
      <c r="AA115" t="str">
        <f t="shared" si="18"/>
        <v/>
      </c>
      <c r="AB115" t="str">
        <f t="shared" si="19"/>
        <v/>
      </c>
      <c r="AC115" t="str">
        <f t="shared" si="20"/>
        <v/>
      </c>
    </row>
    <row r="116" spans="1:29" x14ac:dyDescent="0.35">
      <c r="A116" s="1">
        <v>45612</v>
      </c>
      <c r="B116" s="1">
        <v>45638</v>
      </c>
      <c r="C116">
        <v>250242</v>
      </c>
      <c r="D116" t="s">
        <v>111</v>
      </c>
      <c r="E116" t="s">
        <v>21</v>
      </c>
      <c r="F116" t="s">
        <v>138</v>
      </c>
      <c r="G116" t="s">
        <v>23</v>
      </c>
      <c r="H116" t="s">
        <v>24</v>
      </c>
      <c r="I116" t="s">
        <v>18</v>
      </c>
      <c r="J116" t="s">
        <v>19</v>
      </c>
      <c r="M116" t="s">
        <v>242</v>
      </c>
      <c r="T116">
        <f t="shared" si="21"/>
        <v>1</v>
      </c>
      <c r="V116" s="2" t="str">
        <f t="shared" si="13"/>
        <v>Une mère de famille veut demander une bourse pour sa fille n on plus en son nom et mais en celui de son père dont les revenus sont moindres&amp;&amp;&amp;&amp;&amp;</v>
      </c>
      <c r="W116">
        <f t="shared" si="14"/>
        <v>1</v>
      </c>
      <c r="X116" t="str">
        <f t="shared" si="15"/>
        <v/>
      </c>
      <c r="Y116" t="str">
        <f t="shared" si="16"/>
        <v/>
      </c>
      <c r="Z116" t="str">
        <f t="shared" si="17"/>
        <v/>
      </c>
      <c r="AA116" t="str">
        <f t="shared" si="18"/>
        <v/>
      </c>
      <c r="AB116" t="str">
        <f t="shared" si="19"/>
        <v/>
      </c>
      <c r="AC116" t="str">
        <f t="shared" si="20"/>
        <v/>
      </c>
    </row>
    <row r="117" spans="1:29" x14ac:dyDescent="0.35">
      <c r="A117" s="1">
        <v>45612</v>
      </c>
      <c r="B117" s="1">
        <v>45622</v>
      </c>
      <c r="C117">
        <v>250250</v>
      </c>
      <c r="D117" t="s">
        <v>111</v>
      </c>
      <c r="E117" t="s">
        <v>28</v>
      </c>
      <c r="F117" t="s">
        <v>44</v>
      </c>
      <c r="G117" t="s">
        <v>41</v>
      </c>
      <c r="H117" t="s">
        <v>42</v>
      </c>
      <c r="I117" t="s">
        <v>18</v>
      </c>
      <c r="J117" t="s">
        <v>26</v>
      </c>
      <c r="K117" t="s">
        <v>25</v>
      </c>
      <c r="M117" t="s">
        <v>243</v>
      </c>
      <c r="T117">
        <f t="shared" si="21"/>
        <v>1</v>
      </c>
      <c r="V117" s="2" t="str">
        <f t="shared" si="13"/>
        <v>Une mère de famille se plaint de l'échec de son fils au bac en invoquant les problèmes qu'il a rencontré&amp;&amp;&amp;&amp;&amp;</v>
      </c>
      <c r="W117">
        <f t="shared" si="14"/>
        <v>1</v>
      </c>
      <c r="X117" t="str">
        <f t="shared" si="15"/>
        <v/>
      </c>
      <c r="Y117" t="str">
        <f t="shared" si="16"/>
        <v/>
      </c>
      <c r="Z117" t="str">
        <f t="shared" si="17"/>
        <v/>
      </c>
      <c r="AA117" t="str">
        <f t="shared" si="18"/>
        <v/>
      </c>
      <c r="AB117" t="str">
        <f t="shared" si="19"/>
        <v/>
      </c>
      <c r="AC117" t="str">
        <f t="shared" si="20"/>
        <v/>
      </c>
    </row>
    <row r="118" spans="1:29" x14ac:dyDescent="0.35">
      <c r="A118" s="1">
        <v>45612</v>
      </c>
      <c r="B118" s="1">
        <v>45640</v>
      </c>
      <c r="C118">
        <v>250265</v>
      </c>
      <c r="D118" t="s">
        <v>20</v>
      </c>
      <c r="E118" t="s">
        <v>28</v>
      </c>
      <c r="F118" t="s">
        <v>55</v>
      </c>
      <c r="G118" t="s">
        <v>16</v>
      </c>
      <c r="H118" t="s">
        <v>17</v>
      </c>
      <c r="I118" t="s">
        <v>18</v>
      </c>
      <c r="J118" t="s">
        <v>19</v>
      </c>
      <c r="M118" t="s">
        <v>244</v>
      </c>
      <c r="T118">
        <f t="shared" si="21"/>
        <v>1</v>
      </c>
      <c r="V118" s="2" t="str">
        <f t="shared" si="13"/>
        <v>Elève de 3ème en conseil de discipline après un mois de mesure conservatoire. La famille fait appel après la décision d'exclusion Conseils donnés Elève replacé en collège&amp;&amp;&amp;&amp;&amp;</v>
      </c>
      <c r="W118">
        <f t="shared" si="14"/>
        <v>1</v>
      </c>
      <c r="X118" t="str">
        <f t="shared" si="15"/>
        <v/>
      </c>
      <c r="Y118" t="str">
        <f t="shared" si="16"/>
        <v/>
      </c>
      <c r="Z118" t="str">
        <f t="shared" si="17"/>
        <v/>
      </c>
      <c r="AA118" t="str">
        <f t="shared" si="18"/>
        <v/>
      </c>
      <c r="AB118" t="str">
        <f t="shared" si="19"/>
        <v/>
      </c>
      <c r="AC118" t="str">
        <f t="shared" si="20"/>
        <v/>
      </c>
    </row>
    <row r="119" spans="1:29" x14ac:dyDescent="0.35">
      <c r="A119" s="1">
        <v>45612</v>
      </c>
      <c r="B119" s="1">
        <v>45636</v>
      </c>
      <c r="C119">
        <v>250347</v>
      </c>
      <c r="D119" t="s">
        <v>98</v>
      </c>
      <c r="E119" t="s">
        <v>28</v>
      </c>
      <c r="F119" t="s">
        <v>29</v>
      </c>
      <c r="G119" t="s">
        <v>16</v>
      </c>
      <c r="H119" t="s">
        <v>69</v>
      </c>
      <c r="I119" t="s">
        <v>18</v>
      </c>
      <c r="J119" t="s">
        <v>26</v>
      </c>
      <c r="K119" t="s">
        <v>25</v>
      </c>
      <c r="M119" t="s">
        <v>245</v>
      </c>
      <c r="T119">
        <f t="shared" si="21"/>
        <v>1</v>
      </c>
      <c r="V119" s="2" t="str">
        <f t="shared" si="13"/>
        <v>constestation sur le traitement d'une agression entre élèves par la famille de l'agressé - famille non prévenue de l'agression de leur enfant par le collège - CLG contacté, &amp;&amp;&amp;&amp;&amp;</v>
      </c>
      <c r="W119">
        <f t="shared" si="14"/>
        <v>1</v>
      </c>
      <c r="X119" t="str">
        <f t="shared" si="15"/>
        <v/>
      </c>
      <c r="Y119" t="str">
        <f t="shared" si="16"/>
        <v/>
      </c>
      <c r="Z119" t="str">
        <f t="shared" si="17"/>
        <v/>
      </c>
      <c r="AA119" t="str">
        <f t="shared" si="18"/>
        <v/>
      </c>
      <c r="AB119" t="str">
        <f t="shared" si="19"/>
        <v/>
      </c>
      <c r="AC119" t="str">
        <f t="shared" si="20"/>
        <v/>
      </c>
    </row>
    <row r="120" spans="1:29" x14ac:dyDescent="0.35">
      <c r="A120" s="1">
        <v>45611</v>
      </c>
      <c r="B120" s="1">
        <v>45631</v>
      </c>
      <c r="C120">
        <v>250370</v>
      </c>
      <c r="D120" t="s">
        <v>73</v>
      </c>
      <c r="E120" t="s">
        <v>28</v>
      </c>
      <c r="F120" t="s">
        <v>29</v>
      </c>
      <c r="G120" t="s">
        <v>36</v>
      </c>
      <c r="H120" t="s">
        <v>67</v>
      </c>
      <c r="I120" t="s">
        <v>18</v>
      </c>
      <c r="J120" t="s">
        <v>26</v>
      </c>
      <c r="K120" t="s">
        <v>38</v>
      </c>
      <c r="L120" t="s">
        <v>108</v>
      </c>
      <c r="M120" t="s">
        <v>246</v>
      </c>
      <c r="T120">
        <f t="shared" si="21"/>
        <v>1</v>
      </c>
      <c r="V120" s="2" t="str">
        <f t="shared" si="13"/>
        <v>Le requérant demande le regroupement de ses deux enfants dans un même collège, du plus jeune fils dans un même secteur géographique, car la famille est dans l'impossibilité d'organiser sûrement leur scolarité.&amp;&amp;&amp;&amp;&amp;</v>
      </c>
      <c r="W120">
        <f t="shared" si="14"/>
        <v>1</v>
      </c>
      <c r="X120" t="str">
        <f t="shared" si="15"/>
        <v/>
      </c>
      <c r="Y120" t="str">
        <f t="shared" si="16"/>
        <v/>
      </c>
      <c r="Z120" t="str">
        <f t="shared" si="17"/>
        <v/>
      </c>
      <c r="AA120" t="str">
        <f t="shared" si="18"/>
        <v/>
      </c>
      <c r="AB120" t="str">
        <f t="shared" si="19"/>
        <v/>
      </c>
      <c r="AC120" t="str">
        <f t="shared" si="20"/>
        <v/>
      </c>
    </row>
    <row r="121" spans="1:29" x14ac:dyDescent="0.35">
      <c r="A121" s="1">
        <v>45611</v>
      </c>
      <c r="B121" s="1">
        <v>45639</v>
      </c>
      <c r="C121">
        <v>250463</v>
      </c>
      <c r="D121" t="s">
        <v>119</v>
      </c>
      <c r="E121" t="s">
        <v>28</v>
      </c>
      <c r="F121" t="s">
        <v>66</v>
      </c>
      <c r="G121" t="s">
        <v>16</v>
      </c>
      <c r="H121" s="3" t="s">
        <v>182</v>
      </c>
      <c r="I121" t="s">
        <v>18</v>
      </c>
      <c r="J121" t="s">
        <v>26</v>
      </c>
      <c r="K121" t="s">
        <v>38</v>
      </c>
      <c r="L121" t="s">
        <v>39</v>
      </c>
      <c r="M121" t="s">
        <v>247</v>
      </c>
      <c r="T121">
        <f t="shared" si="21"/>
        <v>1</v>
      </c>
      <c r="U121" t="s">
        <v>328</v>
      </c>
      <c r="V121" s="2" t="str">
        <f t="shared" si="13"/>
        <v>CM N'a pas reçu les cours du cned de 6ème, convoquée pour contrôle Instruction en famille le 18 décembre. Le cned répond que cet élève n'est pas inscrit. Médiateur informe le service affectation34. 12 décembre : Cours du cned lui sont adressés  &amp;&amp;&amp;&amp;&amp;</v>
      </c>
      <c r="W121">
        <f t="shared" si="14"/>
        <v>1</v>
      </c>
      <c r="X121">
        <f t="shared" si="15"/>
        <v>1</v>
      </c>
      <c r="Y121" t="str">
        <f t="shared" si="16"/>
        <v/>
      </c>
      <c r="Z121" t="str">
        <f t="shared" si="17"/>
        <v/>
      </c>
      <c r="AA121" t="str">
        <f t="shared" si="18"/>
        <v/>
      </c>
      <c r="AB121" t="str">
        <f t="shared" si="19"/>
        <v/>
      </c>
      <c r="AC121" t="str">
        <f t="shared" si="20"/>
        <v/>
      </c>
    </row>
    <row r="122" spans="1:29" x14ac:dyDescent="0.35">
      <c r="A122" s="1">
        <v>45610</v>
      </c>
      <c r="B122" s="1">
        <v>45631</v>
      </c>
      <c r="C122">
        <v>250075</v>
      </c>
      <c r="D122" t="s">
        <v>65</v>
      </c>
      <c r="E122" t="s">
        <v>14</v>
      </c>
      <c r="F122" t="s">
        <v>90</v>
      </c>
      <c r="G122" t="s">
        <v>16</v>
      </c>
      <c r="H122" t="s">
        <v>69</v>
      </c>
      <c r="I122" t="s">
        <v>129</v>
      </c>
      <c r="J122" t="s">
        <v>26</v>
      </c>
      <c r="K122" t="s">
        <v>72</v>
      </c>
      <c r="M122" t="s">
        <v>248</v>
      </c>
      <c r="T122">
        <f t="shared" si="21"/>
        <v>1</v>
      </c>
      <c r="V122" s="2" t="str">
        <f t="shared" si="13"/>
        <v>Contestation du fonctionnement de l'école. Saisine d'autres services de la DSDEN 33. Pas de prise en charge par le médiateur. à ce stade. Relance de la famille. Réponse explicative&amp;&amp;&amp;&amp;&amp;</v>
      </c>
      <c r="W122">
        <f t="shared" si="14"/>
        <v>1</v>
      </c>
      <c r="X122" t="str">
        <f t="shared" si="15"/>
        <v/>
      </c>
      <c r="Y122" t="str">
        <f t="shared" si="16"/>
        <v/>
      </c>
      <c r="Z122" t="str">
        <f t="shared" si="17"/>
        <v/>
      </c>
      <c r="AA122" t="str">
        <f t="shared" si="18"/>
        <v/>
      </c>
      <c r="AB122" t="str">
        <f t="shared" si="19"/>
        <v/>
      </c>
      <c r="AC122" t="str">
        <f t="shared" si="20"/>
        <v/>
      </c>
    </row>
    <row r="123" spans="1:29" x14ac:dyDescent="0.35">
      <c r="A123" s="1">
        <v>45610</v>
      </c>
      <c r="B123" s="1">
        <v>45629</v>
      </c>
      <c r="C123">
        <v>250094</v>
      </c>
      <c r="D123" t="s">
        <v>93</v>
      </c>
      <c r="E123" t="s">
        <v>28</v>
      </c>
      <c r="F123" t="s">
        <v>66</v>
      </c>
      <c r="G123" t="s">
        <v>36</v>
      </c>
      <c r="H123" t="s">
        <v>67</v>
      </c>
      <c r="I123" t="s">
        <v>18</v>
      </c>
      <c r="J123" t="s">
        <v>26</v>
      </c>
      <c r="K123" t="s">
        <v>38</v>
      </c>
      <c r="L123" t="s">
        <v>81</v>
      </c>
      <c r="M123" t="s">
        <v>249</v>
      </c>
      <c r="T123">
        <f t="shared" si="21"/>
        <v>1</v>
      </c>
      <c r="V123" s="2" t="str">
        <f t="shared" si="13"/>
        <v>demande révision affectation pour rapprochement du domicile, a été affectée dans le collège le plus proche possible du fait des places dispo&amp;&amp;&amp;&amp;&amp;</v>
      </c>
      <c r="W123" t="str">
        <f t="shared" si="14"/>
        <v/>
      </c>
      <c r="X123" t="str">
        <f t="shared" si="15"/>
        <v/>
      </c>
      <c r="Y123">
        <f t="shared" si="16"/>
        <v>1</v>
      </c>
      <c r="Z123" t="str">
        <f t="shared" si="17"/>
        <v/>
      </c>
      <c r="AA123" t="str">
        <f t="shared" si="18"/>
        <v/>
      </c>
      <c r="AB123" t="str">
        <f t="shared" si="19"/>
        <v/>
      </c>
      <c r="AC123" t="str">
        <f t="shared" si="20"/>
        <v/>
      </c>
    </row>
    <row r="124" spans="1:29" x14ac:dyDescent="0.35">
      <c r="A124" s="1">
        <v>45610</v>
      </c>
      <c r="B124" s="1">
        <v>45611</v>
      </c>
      <c r="C124">
        <v>250122</v>
      </c>
      <c r="D124" t="s">
        <v>97</v>
      </c>
      <c r="E124" t="s">
        <v>14</v>
      </c>
      <c r="F124" t="s">
        <v>15</v>
      </c>
      <c r="G124" t="s">
        <v>36</v>
      </c>
      <c r="H124" t="s">
        <v>67</v>
      </c>
      <c r="I124" t="s">
        <v>18</v>
      </c>
      <c r="J124" t="s">
        <v>19</v>
      </c>
      <c r="M124" t="s">
        <v>339</v>
      </c>
      <c r="T124">
        <f t="shared" si="21"/>
        <v>1</v>
      </c>
      <c r="V124" s="2" t="str">
        <f t="shared" si="13"/>
        <v>Enfant en résidence alternée. La famille souhaite savoir dans quel collège de secteur elle sera affectée à la rentrée 2025&amp;&amp;&amp;&amp;&amp;</v>
      </c>
      <c r="W124">
        <f t="shared" si="14"/>
        <v>1</v>
      </c>
      <c r="X124" t="str">
        <f t="shared" si="15"/>
        <v/>
      </c>
      <c r="Y124" t="str">
        <f t="shared" si="16"/>
        <v/>
      </c>
      <c r="Z124" t="str">
        <f t="shared" si="17"/>
        <v/>
      </c>
      <c r="AA124" t="str">
        <f t="shared" si="18"/>
        <v/>
      </c>
      <c r="AB124" t="str">
        <f t="shared" si="19"/>
        <v/>
      </c>
      <c r="AC124" t="str">
        <f t="shared" si="20"/>
        <v/>
      </c>
    </row>
    <row r="125" spans="1:29" x14ac:dyDescent="0.35">
      <c r="A125" s="1">
        <v>45610</v>
      </c>
      <c r="B125" s="1">
        <v>45610</v>
      </c>
      <c r="C125">
        <v>250131</v>
      </c>
      <c r="D125" t="s">
        <v>73</v>
      </c>
      <c r="E125" t="s">
        <v>21</v>
      </c>
      <c r="F125" t="s">
        <v>126</v>
      </c>
      <c r="G125" t="s">
        <v>41</v>
      </c>
      <c r="H125" t="s">
        <v>45</v>
      </c>
      <c r="I125" t="s">
        <v>18</v>
      </c>
      <c r="J125" t="s">
        <v>19</v>
      </c>
      <c r="M125" t="s">
        <v>250</v>
      </c>
      <c r="T125">
        <f t="shared" si="21"/>
        <v>1</v>
      </c>
      <c r="V125" s="2" t="str">
        <f t="shared" si="13"/>
        <v>Le requérant ayant passé son BTS professions immobilières en enseignement à distance demande à obtenir son diplôme.&amp;&amp;&amp;&amp;&amp;</v>
      </c>
      <c r="W125" t="str">
        <f t="shared" si="14"/>
        <v/>
      </c>
      <c r="X125" t="str">
        <f t="shared" si="15"/>
        <v/>
      </c>
      <c r="Y125" t="str">
        <f t="shared" si="16"/>
        <v/>
      </c>
      <c r="Z125" t="str">
        <f t="shared" si="17"/>
        <v/>
      </c>
      <c r="AA125">
        <f t="shared" si="18"/>
        <v>1</v>
      </c>
      <c r="AB125" t="str">
        <f t="shared" si="19"/>
        <v/>
      </c>
      <c r="AC125" t="str">
        <f t="shared" si="20"/>
        <v/>
      </c>
    </row>
    <row r="126" spans="1:29" x14ac:dyDescent="0.35">
      <c r="A126" s="1">
        <v>45610</v>
      </c>
      <c r="B126" s="1">
        <v>45611</v>
      </c>
      <c r="C126">
        <v>250226</v>
      </c>
      <c r="D126" t="s">
        <v>63</v>
      </c>
      <c r="E126" t="s">
        <v>32</v>
      </c>
      <c r="F126" t="s">
        <v>107</v>
      </c>
      <c r="G126" t="s">
        <v>23</v>
      </c>
      <c r="H126" t="s">
        <v>56</v>
      </c>
      <c r="I126" t="s">
        <v>18</v>
      </c>
      <c r="J126" t="s">
        <v>60</v>
      </c>
      <c r="M126" t="s">
        <v>251</v>
      </c>
      <c r="T126">
        <f t="shared" si="21"/>
        <v>1</v>
      </c>
      <c r="V126" s="2" t="str">
        <f t="shared" si="13"/>
        <v>La famille se plaint de ne pas avoir reçu de bourse cette année. &amp;&amp;&amp;&amp;&amp;</v>
      </c>
      <c r="W126">
        <f t="shared" si="14"/>
        <v>1</v>
      </c>
      <c r="X126" t="str">
        <f t="shared" si="15"/>
        <v/>
      </c>
      <c r="Y126" t="str">
        <f t="shared" si="16"/>
        <v/>
      </c>
      <c r="Z126" t="str">
        <f t="shared" si="17"/>
        <v/>
      </c>
      <c r="AA126" t="str">
        <f t="shared" si="18"/>
        <v/>
      </c>
      <c r="AB126" t="str">
        <f t="shared" si="19"/>
        <v/>
      </c>
      <c r="AC126" t="str">
        <f t="shared" si="20"/>
        <v/>
      </c>
    </row>
    <row r="127" spans="1:29" x14ac:dyDescent="0.35">
      <c r="A127" s="1">
        <v>45610</v>
      </c>
      <c r="B127" s="1">
        <v>45621</v>
      </c>
      <c r="C127">
        <v>250327</v>
      </c>
      <c r="D127" t="s">
        <v>97</v>
      </c>
      <c r="E127" t="s">
        <v>28</v>
      </c>
      <c r="F127" t="s">
        <v>117</v>
      </c>
      <c r="G127" t="s">
        <v>36</v>
      </c>
      <c r="H127" t="s">
        <v>70</v>
      </c>
      <c r="I127" t="s">
        <v>18</v>
      </c>
      <c r="J127" t="s">
        <v>26</v>
      </c>
      <c r="K127" t="s">
        <v>38</v>
      </c>
      <c r="L127" t="s">
        <v>39</v>
      </c>
      <c r="M127" t="s">
        <v>340</v>
      </c>
      <c r="T127">
        <f t="shared" si="21"/>
        <v>1</v>
      </c>
      <c r="V127" s="2" t="str">
        <f t="shared" si="13"/>
        <v>Suite aménagement dans la Loire, demande d'inscription dans un lycée à proximité du domicile de l'élève ou avec une section en lien avec les projets de l'élève&amp;&amp;&amp;&amp;&amp;</v>
      </c>
      <c r="W127" t="str">
        <f t="shared" si="14"/>
        <v/>
      </c>
      <c r="X127" t="str">
        <f t="shared" si="15"/>
        <v/>
      </c>
      <c r="Y127">
        <f t="shared" si="16"/>
        <v>1</v>
      </c>
      <c r="Z127" t="str">
        <f t="shared" si="17"/>
        <v/>
      </c>
      <c r="AA127" t="str">
        <f t="shared" si="18"/>
        <v/>
      </c>
      <c r="AB127" t="str">
        <f t="shared" si="19"/>
        <v/>
      </c>
      <c r="AC127" t="str">
        <f t="shared" si="20"/>
        <v/>
      </c>
    </row>
    <row r="128" spans="1:29" x14ac:dyDescent="0.35">
      <c r="A128" s="1">
        <v>45610</v>
      </c>
      <c r="B128" s="1">
        <v>45621</v>
      </c>
      <c r="C128">
        <v>250773</v>
      </c>
      <c r="D128" t="s">
        <v>78</v>
      </c>
      <c r="E128" t="s">
        <v>28</v>
      </c>
      <c r="F128" t="s">
        <v>55</v>
      </c>
      <c r="G128" t="s">
        <v>41</v>
      </c>
      <c r="H128" t="s">
        <v>42</v>
      </c>
      <c r="I128" t="s">
        <v>43</v>
      </c>
      <c r="J128" t="s">
        <v>26</v>
      </c>
      <c r="K128" t="s">
        <v>38</v>
      </c>
      <c r="L128" t="s">
        <v>108</v>
      </c>
      <c r="M128" t="s">
        <v>252</v>
      </c>
      <c r="T128">
        <f t="shared" si="21"/>
        <v>1</v>
      </c>
      <c r="V128" s="2" t="str">
        <f t="shared" si="13"/>
        <v>La mère du jeune affirme que l'AESH a induit en erreur son fils pour une réponse de grammaire lors du DNB. Médiateur contacte la DEC : enquête adm. menée. Il n'y a pas de faute. Demande famille rejetée. &amp;&amp;&amp;&amp;&amp;</v>
      </c>
      <c r="W128">
        <f t="shared" si="14"/>
        <v>1</v>
      </c>
      <c r="X128" t="str">
        <f t="shared" si="15"/>
        <v/>
      </c>
      <c r="Y128" t="str">
        <f t="shared" si="16"/>
        <v/>
      </c>
      <c r="Z128" t="str">
        <f t="shared" si="17"/>
        <v/>
      </c>
      <c r="AA128" t="str">
        <f t="shared" si="18"/>
        <v/>
      </c>
      <c r="AB128" t="str">
        <f t="shared" si="19"/>
        <v/>
      </c>
      <c r="AC128" t="str">
        <f t="shared" si="20"/>
        <v/>
      </c>
    </row>
    <row r="129" spans="1:29" x14ac:dyDescent="0.35">
      <c r="A129" s="1">
        <v>45610</v>
      </c>
      <c r="B129" s="1">
        <v>45614</v>
      </c>
      <c r="C129">
        <v>2024016496816</v>
      </c>
      <c r="D129" t="s">
        <v>78</v>
      </c>
      <c r="E129" t="s">
        <v>28</v>
      </c>
      <c r="F129" t="s">
        <v>66</v>
      </c>
      <c r="G129" t="s">
        <v>16</v>
      </c>
      <c r="H129" t="s">
        <v>79</v>
      </c>
      <c r="I129" t="s">
        <v>18</v>
      </c>
      <c r="J129" t="s">
        <v>26</v>
      </c>
      <c r="K129" t="s">
        <v>38</v>
      </c>
      <c r="L129" t="s">
        <v>81</v>
      </c>
      <c r="M129" t="s">
        <v>253</v>
      </c>
      <c r="T129">
        <f t="shared" si="21"/>
        <v>1</v>
      </c>
      <c r="V129" s="2" t="str">
        <f t="shared" si="13"/>
        <v>Dénoncent harcèlt par camarade et intervention "famille" plus grands. CPE mise en cause. 14/11 appel clg. Difficulté intégr Facilement conflit. 6 retenues. Insultes faciles/adultes et camarades. CPE reçu parents. Nbres remarques en classe. Réponse 18/11&amp;&amp;&amp;&amp;&amp;</v>
      </c>
      <c r="W129">
        <f t="shared" si="14"/>
        <v>1</v>
      </c>
      <c r="X129" t="str">
        <f t="shared" si="15"/>
        <v/>
      </c>
      <c r="Y129" t="str">
        <f t="shared" si="16"/>
        <v/>
      </c>
      <c r="Z129" t="str">
        <f t="shared" si="17"/>
        <v/>
      </c>
      <c r="AA129" t="str">
        <f t="shared" si="18"/>
        <v/>
      </c>
      <c r="AB129" t="str">
        <f t="shared" si="19"/>
        <v/>
      </c>
      <c r="AC129" t="str">
        <f t="shared" si="20"/>
        <v/>
      </c>
    </row>
    <row r="130" spans="1:29" x14ac:dyDescent="0.35">
      <c r="A130" s="1">
        <v>45609</v>
      </c>
      <c r="B130" s="1">
        <v>45610</v>
      </c>
      <c r="C130">
        <v>250055</v>
      </c>
      <c r="D130" t="s">
        <v>65</v>
      </c>
      <c r="E130" t="s">
        <v>14</v>
      </c>
      <c r="F130" t="s">
        <v>15</v>
      </c>
      <c r="G130" t="s">
        <v>36</v>
      </c>
      <c r="H130" t="s">
        <v>92</v>
      </c>
      <c r="I130" t="s">
        <v>18</v>
      </c>
      <c r="J130" t="s">
        <v>26</v>
      </c>
      <c r="K130" t="s">
        <v>25</v>
      </c>
      <c r="M130" t="s">
        <v>254</v>
      </c>
      <c r="T130">
        <f t="shared" ref="T130:T159" si="22">IF(SUM(W130:AC130)&gt;0,1,"")</f>
        <v>1</v>
      </c>
      <c r="U130" t="s">
        <v>328</v>
      </c>
      <c r="V130" s="2" t="str">
        <f t="shared" ref="V130:V193" si="23">M130&amp;"&amp;"&amp;N130&amp;"&amp;"&amp;O130&amp;"&amp;"&amp;P130&amp;"&amp;"&amp;Q130&amp;"&amp;"&amp;R130</f>
        <v>refus IEF du DASEN confirmé après RAPO  demande annulation de la décision explications&amp;&amp;&amp;&amp;&amp;</v>
      </c>
      <c r="W130" t="str">
        <f t="shared" ref="W130:W193" si="24">IF(ISNUMBER(SEARCH($W$1,$V130)),1,"")</f>
        <v/>
      </c>
      <c r="X130" t="str">
        <f t="shared" ref="X130:X193" si="25">IF(ISNUMBER(SEARCH($X$1,$V130)),1,"")</f>
        <v/>
      </c>
      <c r="Y130" t="str">
        <f t="shared" ref="Y130:Y193" si="26">IF(ISNUMBER(SEARCH($Y$1,$V130)),1,"")</f>
        <v/>
      </c>
      <c r="Z130" t="str">
        <f t="shared" ref="Z130:Z193" si="27">IF(ISNUMBER(SEARCH($Z$1,$V130)),1,"")</f>
        <v/>
      </c>
      <c r="AA130" t="str">
        <f t="shared" ref="AA130:AA193" si="28">IF(ISNUMBER(SEARCH($AA$1,$V130)),1,"")</f>
        <v/>
      </c>
      <c r="AB130" t="str">
        <f t="shared" ref="AB130:AB193" si="29">IF(ISNUMBER(SEARCH($AB$1,$V130)),1,"")</f>
        <v/>
      </c>
      <c r="AC130">
        <f t="shared" ref="AC130:AC193" si="30">IF(ISNUMBER(SEARCH($AC$1,$V130)),1,"")</f>
        <v>1</v>
      </c>
    </row>
    <row r="131" spans="1:29" x14ac:dyDescent="0.35">
      <c r="A131" s="1">
        <v>45609</v>
      </c>
      <c r="B131" s="1">
        <v>45621</v>
      </c>
      <c r="C131">
        <v>250064</v>
      </c>
      <c r="D131" t="s">
        <v>119</v>
      </c>
      <c r="E131" t="s">
        <v>28</v>
      </c>
      <c r="F131" t="s">
        <v>74</v>
      </c>
      <c r="G131" t="s">
        <v>16</v>
      </c>
      <c r="H131" s="3" t="s">
        <v>182</v>
      </c>
      <c r="I131" t="s">
        <v>75</v>
      </c>
      <c r="J131" t="s">
        <v>26</v>
      </c>
      <c r="K131" t="s">
        <v>38</v>
      </c>
      <c r="L131" t="s">
        <v>39</v>
      </c>
      <c r="M131" t="s">
        <v>341</v>
      </c>
      <c r="T131">
        <f t="shared" si="22"/>
        <v>1</v>
      </c>
      <c r="U131" t="s">
        <v>328</v>
      </c>
      <c r="V131" s="2" t="str">
        <f t="shared" si="23"/>
        <v>Demande tardive IEF pour enfant récupéré chez père et domicilié chez sa mère désormais. Médiateur accuse réception et transmet courriel aux services compétents.&amp;&amp;&amp;&amp;&amp;</v>
      </c>
      <c r="W131" t="str">
        <f t="shared" si="24"/>
        <v/>
      </c>
      <c r="X131" t="str">
        <f t="shared" si="25"/>
        <v/>
      </c>
      <c r="Y131" t="str">
        <f t="shared" si="26"/>
        <v/>
      </c>
      <c r="Z131" t="str">
        <f t="shared" si="27"/>
        <v/>
      </c>
      <c r="AA131" t="str">
        <f t="shared" si="28"/>
        <v/>
      </c>
      <c r="AB131" t="str">
        <f t="shared" si="29"/>
        <v/>
      </c>
      <c r="AC131">
        <f t="shared" si="30"/>
        <v>1</v>
      </c>
    </row>
    <row r="132" spans="1:29" x14ac:dyDescent="0.35">
      <c r="A132" s="1">
        <v>45609</v>
      </c>
      <c r="B132" s="1">
        <v>45622</v>
      </c>
      <c r="C132">
        <v>250129</v>
      </c>
      <c r="D132" t="s">
        <v>73</v>
      </c>
      <c r="E132" t="s">
        <v>28</v>
      </c>
      <c r="F132" t="s">
        <v>29</v>
      </c>
      <c r="G132" t="s">
        <v>16</v>
      </c>
      <c r="H132" t="s">
        <v>89</v>
      </c>
      <c r="I132" t="s">
        <v>18</v>
      </c>
      <c r="J132" t="s">
        <v>26</v>
      </c>
      <c r="K132" t="s">
        <v>122</v>
      </c>
      <c r="M132" t="s">
        <v>255</v>
      </c>
      <c r="T132">
        <f t="shared" si="22"/>
        <v>1</v>
      </c>
      <c r="V132" s="2" t="str">
        <f t="shared" si="23"/>
        <v>Famille qui se plaint d'une notification de sanction qui serait injuste. Compléments demandés mais ne donne pas suite&amp;&amp;&amp;&amp;&amp;</v>
      </c>
      <c r="W132">
        <f t="shared" si="24"/>
        <v>1</v>
      </c>
      <c r="X132" t="str">
        <f t="shared" si="25"/>
        <v/>
      </c>
      <c r="Y132" t="str">
        <f t="shared" si="26"/>
        <v/>
      </c>
      <c r="Z132" t="str">
        <f t="shared" si="27"/>
        <v/>
      </c>
      <c r="AA132" t="str">
        <f t="shared" si="28"/>
        <v/>
      </c>
      <c r="AB132" t="str">
        <f t="shared" si="29"/>
        <v/>
      </c>
      <c r="AC132" t="str">
        <f t="shared" si="30"/>
        <v/>
      </c>
    </row>
    <row r="133" spans="1:29" x14ac:dyDescent="0.35">
      <c r="A133" s="1">
        <v>45608</v>
      </c>
      <c r="B133" s="1">
        <v>45629</v>
      </c>
      <c r="C133">
        <v>249938</v>
      </c>
      <c r="D133" t="s">
        <v>65</v>
      </c>
      <c r="E133" t="s">
        <v>28</v>
      </c>
      <c r="F133" t="s">
        <v>88</v>
      </c>
      <c r="G133" t="s">
        <v>36</v>
      </c>
      <c r="H133" t="s">
        <v>37</v>
      </c>
      <c r="I133" t="s">
        <v>18</v>
      </c>
      <c r="J133" t="s">
        <v>26</v>
      </c>
      <c r="K133" t="s">
        <v>38</v>
      </c>
      <c r="L133" t="s">
        <v>108</v>
      </c>
      <c r="M133" t="s">
        <v>256</v>
      </c>
      <c r="T133">
        <f t="shared" si="22"/>
        <v>1</v>
      </c>
      <c r="U133" t="s">
        <v>328</v>
      </c>
      <c r="V133" s="2" t="str">
        <f t="shared" si="23"/>
        <v>IEF Contestation de refus. Saisine de la DSDEN 33. Refus confirmé.&amp;&amp;&amp;&amp;&amp;</v>
      </c>
      <c r="W133" t="str">
        <f t="shared" si="24"/>
        <v/>
      </c>
      <c r="X133" t="str">
        <f t="shared" si="25"/>
        <v/>
      </c>
      <c r="Y133" t="str">
        <f t="shared" si="26"/>
        <v/>
      </c>
      <c r="Z133" t="str">
        <f t="shared" si="27"/>
        <v/>
      </c>
      <c r="AA133" t="str">
        <f t="shared" si="28"/>
        <v/>
      </c>
      <c r="AB133" t="str">
        <f t="shared" si="29"/>
        <v/>
      </c>
      <c r="AC133">
        <f t="shared" si="30"/>
        <v>1</v>
      </c>
    </row>
    <row r="134" spans="1:29" x14ac:dyDescent="0.35">
      <c r="A134" s="1">
        <v>45608</v>
      </c>
      <c r="B134" s="1">
        <v>45608</v>
      </c>
      <c r="C134">
        <v>249947</v>
      </c>
      <c r="D134" t="s">
        <v>46</v>
      </c>
      <c r="E134" t="s">
        <v>28</v>
      </c>
      <c r="F134" t="s">
        <v>55</v>
      </c>
      <c r="G134" t="s">
        <v>16</v>
      </c>
      <c r="H134" t="s">
        <v>89</v>
      </c>
      <c r="I134" t="s">
        <v>18</v>
      </c>
      <c r="J134" t="s">
        <v>26</v>
      </c>
      <c r="K134" t="s">
        <v>38</v>
      </c>
      <c r="L134" t="s">
        <v>81</v>
      </c>
      <c r="M134" t="s">
        <v>257</v>
      </c>
      <c r="T134">
        <f t="shared" si="22"/>
        <v>1</v>
      </c>
      <c r="V134" s="2" t="str">
        <f t="shared" si="23"/>
        <v>Conteste une sanction déjà exécutée. Demande au CE de prendre l'attache de la famille pour respecter le principe du contradictoire!&amp;&amp;&amp;&amp;&amp;</v>
      </c>
      <c r="W134">
        <f t="shared" si="24"/>
        <v>1</v>
      </c>
      <c r="X134" t="str">
        <f t="shared" si="25"/>
        <v/>
      </c>
      <c r="Y134" t="str">
        <f t="shared" si="26"/>
        <v/>
      </c>
      <c r="Z134" t="str">
        <f t="shared" si="27"/>
        <v/>
      </c>
      <c r="AA134" t="str">
        <f t="shared" si="28"/>
        <v/>
      </c>
      <c r="AB134" t="str">
        <f t="shared" si="29"/>
        <v/>
      </c>
      <c r="AC134" t="str">
        <f t="shared" si="30"/>
        <v/>
      </c>
    </row>
    <row r="135" spans="1:29" x14ac:dyDescent="0.35">
      <c r="A135" s="1">
        <v>45608</v>
      </c>
      <c r="B135" s="1">
        <v>45630</v>
      </c>
      <c r="C135">
        <v>249952</v>
      </c>
      <c r="D135" t="s">
        <v>80</v>
      </c>
      <c r="E135" t="s">
        <v>14</v>
      </c>
      <c r="F135" t="s">
        <v>15</v>
      </c>
      <c r="G135" t="s">
        <v>16</v>
      </c>
      <c r="H135" t="s">
        <v>69</v>
      </c>
      <c r="I135" t="s">
        <v>43</v>
      </c>
      <c r="J135" t="s">
        <v>26</v>
      </c>
      <c r="K135" t="s">
        <v>38</v>
      </c>
      <c r="L135" t="s">
        <v>39</v>
      </c>
      <c r="M135" t="s">
        <v>258</v>
      </c>
      <c r="T135">
        <f t="shared" si="22"/>
        <v>1</v>
      </c>
      <c r="V135" s="2" t="str">
        <f t="shared" si="23"/>
        <v>Demande aide  pour mieux communiquer avec école et mairie (accéder à la cantine). Complément infos reçus. Accord IEN pour piloter réunion Educ nat/ famille/ mairie. Req informé le 2/12&amp;&amp;&amp;&amp;&amp;</v>
      </c>
      <c r="W135">
        <f t="shared" si="24"/>
        <v>1</v>
      </c>
      <c r="X135" t="str">
        <f t="shared" si="25"/>
        <v/>
      </c>
      <c r="Y135" t="str">
        <f t="shared" si="26"/>
        <v/>
      </c>
      <c r="Z135" t="str">
        <f t="shared" si="27"/>
        <v/>
      </c>
      <c r="AA135" t="str">
        <f t="shared" si="28"/>
        <v/>
      </c>
      <c r="AB135" t="str">
        <f t="shared" si="29"/>
        <v/>
      </c>
      <c r="AC135" t="str">
        <f t="shared" si="30"/>
        <v/>
      </c>
    </row>
    <row r="136" spans="1:29" x14ac:dyDescent="0.35">
      <c r="A136" s="1">
        <v>45608</v>
      </c>
      <c r="B136" s="1">
        <v>45621</v>
      </c>
      <c r="C136">
        <v>249968</v>
      </c>
      <c r="D136" t="s">
        <v>40</v>
      </c>
      <c r="E136" t="s">
        <v>32</v>
      </c>
      <c r="F136" t="s">
        <v>136</v>
      </c>
      <c r="G136" t="s">
        <v>41</v>
      </c>
      <c r="H136" t="s">
        <v>54</v>
      </c>
      <c r="I136" t="s">
        <v>18</v>
      </c>
      <c r="J136" t="s">
        <v>26</v>
      </c>
      <c r="K136" t="s">
        <v>57</v>
      </c>
      <c r="M136" t="s">
        <v>342</v>
      </c>
      <c r="T136">
        <f t="shared" si="22"/>
        <v>1</v>
      </c>
      <c r="V136" s="2" t="str">
        <f t="shared" si="23"/>
        <v>En CAP tourneur en céramique à xx. Problème de stage et d'attestation. Dérogation obtenue avant l'instruction du dossier.&amp;&amp;&amp;&amp;&amp;</v>
      </c>
      <c r="W136" t="str">
        <f t="shared" si="24"/>
        <v/>
      </c>
      <c r="X136">
        <f t="shared" si="25"/>
        <v>1</v>
      </c>
      <c r="Y136" t="str">
        <f t="shared" si="26"/>
        <v/>
      </c>
      <c r="Z136" t="str">
        <f t="shared" si="27"/>
        <v/>
      </c>
      <c r="AA136" t="str">
        <f t="shared" si="28"/>
        <v/>
      </c>
      <c r="AB136" t="str">
        <f t="shared" si="29"/>
        <v/>
      </c>
      <c r="AC136" t="str">
        <f t="shared" si="30"/>
        <v/>
      </c>
    </row>
    <row r="137" spans="1:29" x14ac:dyDescent="0.35">
      <c r="A137" s="1">
        <v>45608</v>
      </c>
      <c r="B137" s="1">
        <v>45638</v>
      </c>
      <c r="C137">
        <v>249991</v>
      </c>
      <c r="D137" t="s">
        <v>82</v>
      </c>
      <c r="E137" t="s">
        <v>28</v>
      </c>
      <c r="F137" t="s">
        <v>117</v>
      </c>
      <c r="G137" t="s">
        <v>16</v>
      </c>
      <c r="H137" s="3" t="s">
        <v>182</v>
      </c>
      <c r="I137" t="s">
        <v>18</v>
      </c>
      <c r="J137" t="s">
        <v>26</v>
      </c>
      <c r="K137" t="s">
        <v>38</v>
      </c>
      <c r="L137" t="s">
        <v>39</v>
      </c>
      <c r="M137" t="s">
        <v>259</v>
      </c>
      <c r="T137">
        <f t="shared" si="22"/>
        <v>1</v>
      </c>
      <c r="U137" t="s">
        <v>328</v>
      </c>
      <c r="V137" s="2" t="str">
        <f t="shared" si="23"/>
        <v>A été harcelée au collège, scolarisée en lycée, demande IEF pour raison de santé. Dossier reçu à la DSDEN, sera expertisé par médecin scolaire à qui le médiateur a transmis le certificat du pedopsychiatre qui suit Eva. Avis favorable&amp;&amp;&amp;&amp;&amp;</v>
      </c>
      <c r="W137" t="str">
        <f t="shared" si="24"/>
        <v/>
      </c>
      <c r="X137" t="str">
        <f t="shared" si="25"/>
        <v/>
      </c>
      <c r="Y137" t="str">
        <f t="shared" si="26"/>
        <v/>
      </c>
      <c r="Z137" t="str">
        <f t="shared" si="27"/>
        <v/>
      </c>
      <c r="AA137" t="str">
        <f t="shared" si="28"/>
        <v/>
      </c>
      <c r="AB137" t="str">
        <f t="shared" si="29"/>
        <v/>
      </c>
      <c r="AC137">
        <f t="shared" si="30"/>
        <v>1</v>
      </c>
    </row>
    <row r="138" spans="1:29" x14ac:dyDescent="0.35">
      <c r="A138" s="1">
        <v>45608</v>
      </c>
      <c r="B138" s="1">
        <v>45608</v>
      </c>
      <c r="C138">
        <v>2024016496632</v>
      </c>
      <c r="D138" t="s">
        <v>78</v>
      </c>
      <c r="E138" t="s">
        <v>28</v>
      </c>
      <c r="F138" t="s">
        <v>44</v>
      </c>
      <c r="G138" t="s">
        <v>16</v>
      </c>
      <c r="H138" t="s">
        <v>118</v>
      </c>
      <c r="I138" t="s">
        <v>18</v>
      </c>
      <c r="J138" t="s">
        <v>26</v>
      </c>
      <c r="K138" t="s">
        <v>38</v>
      </c>
      <c r="L138" t="s">
        <v>81</v>
      </c>
      <c r="M138" t="s">
        <v>260</v>
      </c>
      <c r="T138">
        <f t="shared" si="22"/>
        <v>1</v>
      </c>
      <c r="V138" s="2" t="str">
        <f t="shared" si="23"/>
        <v>Term. Mis à la porte maison par mère. Facture / avis abs envoyé. Inquiète. 12/11 prov : internat et hotel pdant vacances. Pris en charge etab et services sociaux. Abs signalée lundi erreur de vie scolaire.  12/11 réponses et échanges. Clos.&amp;&amp;&amp;&amp;&amp;</v>
      </c>
      <c r="W138" t="str">
        <f t="shared" si="24"/>
        <v/>
      </c>
      <c r="X138" t="str">
        <f t="shared" si="25"/>
        <v/>
      </c>
      <c r="Y138" t="str">
        <f t="shared" si="26"/>
        <v/>
      </c>
      <c r="Z138">
        <f t="shared" si="27"/>
        <v>1</v>
      </c>
      <c r="AA138" t="str">
        <f t="shared" si="28"/>
        <v/>
      </c>
      <c r="AB138" t="str">
        <f t="shared" si="29"/>
        <v/>
      </c>
      <c r="AC138" t="str">
        <f t="shared" si="30"/>
        <v/>
      </c>
    </row>
    <row r="139" spans="1:29" x14ac:dyDescent="0.35">
      <c r="A139" s="1">
        <v>45606</v>
      </c>
      <c r="B139" s="1">
        <v>45638</v>
      </c>
      <c r="C139">
        <v>249815</v>
      </c>
      <c r="D139" t="s">
        <v>111</v>
      </c>
      <c r="E139" t="s">
        <v>28</v>
      </c>
      <c r="F139" t="s">
        <v>71</v>
      </c>
      <c r="G139" t="s">
        <v>41</v>
      </c>
      <c r="H139" t="s">
        <v>42</v>
      </c>
      <c r="I139" t="s">
        <v>18</v>
      </c>
      <c r="J139" t="s">
        <v>26</v>
      </c>
      <c r="K139" t="s">
        <v>25</v>
      </c>
      <c r="M139" t="s">
        <v>261</v>
      </c>
      <c r="T139">
        <f t="shared" si="22"/>
        <v>1</v>
      </c>
      <c r="V139" s="2" t="str">
        <f t="shared" si="23"/>
        <v>Un père de famille se plaint de la note obtenue par son fils à l'épreuve de français du bac&amp;&amp;&amp;&amp;&amp;</v>
      </c>
      <c r="W139">
        <f t="shared" si="24"/>
        <v>1</v>
      </c>
      <c r="X139" t="str">
        <f t="shared" si="25"/>
        <v/>
      </c>
      <c r="Y139" t="str">
        <f t="shared" si="26"/>
        <v/>
      </c>
      <c r="Z139" t="str">
        <f t="shared" si="27"/>
        <v/>
      </c>
      <c r="AA139" t="str">
        <f t="shared" si="28"/>
        <v/>
      </c>
      <c r="AB139" t="str">
        <f t="shared" si="29"/>
        <v/>
      </c>
      <c r="AC139" t="str">
        <f t="shared" si="30"/>
        <v/>
      </c>
    </row>
    <row r="140" spans="1:29" x14ac:dyDescent="0.35">
      <c r="A140" s="1">
        <v>45604</v>
      </c>
      <c r="B140" s="1">
        <v>45621</v>
      </c>
      <c r="C140">
        <v>249737</v>
      </c>
      <c r="D140" t="s">
        <v>80</v>
      </c>
      <c r="E140" t="s">
        <v>32</v>
      </c>
      <c r="F140" t="s">
        <v>113</v>
      </c>
      <c r="G140" t="s">
        <v>16</v>
      </c>
      <c r="H140" t="s">
        <v>69</v>
      </c>
      <c r="I140" t="s">
        <v>75</v>
      </c>
      <c r="J140" t="s">
        <v>26</v>
      </c>
      <c r="K140" t="s">
        <v>38</v>
      </c>
      <c r="L140" t="s">
        <v>81</v>
      </c>
      <c r="M140" t="s">
        <v>262</v>
      </c>
      <c r="T140">
        <f t="shared" si="22"/>
        <v>1</v>
      </c>
      <c r="V140" s="2" t="str">
        <f t="shared" si="23"/>
        <v>Demande aide suite difficultés relationnelles à l'école et avec autre parent élève provoquant mal-être enfant et famille. DDEC informée par BK prend en charge situation. Demandeuse informée&amp;&amp;&amp;&amp;&amp;</v>
      </c>
      <c r="W140">
        <f t="shared" si="24"/>
        <v>1</v>
      </c>
      <c r="X140" t="str">
        <f t="shared" si="25"/>
        <v/>
      </c>
      <c r="Y140" t="str">
        <f t="shared" si="26"/>
        <v/>
      </c>
      <c r="Z140" t="str">
        <f t="shared" si="27"/>
        <v/>
      </c>
      <c r="AA140" t="str">
        <f t="shared" si="28"/>
        <v/>
      </c>
      <c r="AB140" t="str">
        <f t="shared" si="29"/>
        <v/>
      </c>
      <c r="AC140" t="str">
        <f t="shared" si="30"/>
        <v/>
      </c>
    </row>
    <row r="141" spans="1:29" x14ac:dyDescent="0.35">
      <c r="A141" s="1">
        <v>45604</v>
      </c>
      <c r="B141" s="1">
        <v>45604</v>
      </c>
      <c r="C141">
        <v>249766</v>
      </c>
      <c r="D141" t="s">
        <v>93</v>
      </c>
      <c r="E141" t="s">
        <v>28</v>
      </c>
      <c r="F141" t="s">
        <v>117</v>
      </c>
      <c r="G141" t="s">
        <v>16</v>
      </c>
      <c r="H141" t="s">
        <v>69</v>
      </c>
      <c r="I141" t="s">
        <v>18</v>
      </c>
      <c r="J141" t="s">
        <v>26</v>
      </c>
      <c r="K141" t="s">
        <v>57</v>
      </c>
      <c r="M141" t="s">
        <v>263</v>
      </c>
      <c r="T141">
        <f t="shared" si="22"/>
        <v>1</v>
      </c>
      <c r="V141" s="2" t="str">
        <f t="shared" si="23"/>
        <v>Demande cours en présentiel en espagnol (pas de place et recommandation CNED ) - Réglé par la famille&amp;&amp;&amp;&amp;&amp;</v>
      </c>
      <c r="W141">
        <f t="shared" si="24"/>
        <v>1</v>
      </c>
      <c r="X141" t="str">
        <f t="shared" si="25"/>
        <v/>
      </c>
      <c r="Y141" t="str">
        <f t="shared" si="26"/>
        <v/>
      </c>
      <c r="Z141" t="str">
        <f t="shared" si="27"/>
        <v/>
      </c>
      <c r="AA141" t="str">
        <f t="shared" si="28"/>
        <v/>
      </c>
      <c r="AB141" t="str">
        <f t="shared" si="29"/>
        <v/>
      </c>
      <c r="AC141" t="str">
        <f t="shared" si="30"/>
        <v/>
      </c>
    </row>
    <row r="142" spans="1:29" x14ac:dyDescent="0.35">
      <c r="A142" s="1">
        <v>45604</v>
      </c>
      <c r="B142" s="1">
        <v>45604</v>
      </c>
      <c r="C142">
        <v>249795</v>
      </c>
      <c r="D142" t="s">
        <v>13</v>
      </c>
      <c r="E142" t="s">
        <v>14</v>
      </c>
      <c r="F142" t="s">
        <v>90</v>
      </c>
      <c r="G142" t="s">
        <v>16</v>
      </c>
      <c r="H142" t="s">
        <v>79</v>
      </c>
      <c r="I142" t="s">
        <v>18</v>
      </c>
      <c r="J142" t="s">
        <v>26</v>
      </c>
      <c r="K142" t="s">
        <v>38</v>
      </c>
      <c r="L142" t="s">
        <v>81</v>
      </c>
      <c r="M142" t="s">
        <v>264</v>
      </c>
      <c r="T142">
        <f t="shared" si="22"/>
        <v>1</v>
      </c>
      <c r="V142" s="2" t="str">
        <f t="shared" si="23"/>
        <v>L'enfant est sans cesse frappé par un élève et malgré l'entretien de la dir avec la famille, cela continue. Elle conseille de voir avec la médiation mais j'oriente vers la pôle violence qui traitera. &amp;&amp;&amp;&amp;&amp;</v>
      </c>
      <c r="W142">
        <f t="shared" si="24"/>
        <v>1</v>
      </c>
      <c r="X142" t="str">
        <f t="shared" si="25"/>
        <v/>
      </c>
      <c r="Y142" t="str">
        <f t="shared" si="26"/>
        <v/>
      </c>
      <c r="Z142" t="str">
        <f t="shared" si="27"/>
        <v/>
      </c>
      <c r="AA142" t="str">
        <f t="shared" si="28"/>
        <v/>
      </c>
      <c r="AB142" t="str">
        <f t="shared" si="29"/>
        <v/>
      </c>
      <c r="AC142" t="str">
        <f t="shared" si="30"/>
        <v/>
      </c>
    </row>
    <row r="143" spans="1:29" x14ac:dyDescent="0.35">
      <c r="A143" s="1">
        <v>45604</v>
      </c>
      <c r="B143" s="1">
        <v>45614</v>
      </c>
      <c r="C143">
        <v>249922</v>
      </c>
      <c r="D143" t="s">
        <v>80</v>
      </c>
      <c r="E143" t="s">
        <v>14</v>
      </c>
      <c r="F143" t="s">
        <v>15</v>
      </c>
      <c r="G143" t="s">
        <v>16</v>
      </c>
      <c r="H143" t="s">
        <v>69</v>
      </c>
      <c r="I143" t="s">
        <v>75</v>
      </c>
      <c r="J143" t="s">
        <v>26</v>
      </c>
      <c r="K143" t="s">
        <v>25</v>
      </c>
      <c r="M143" t="s">
        <v>265</v>
      </c>
      <c r="T143">
        <f t="shared" si="22"/>
        <v>1</v>
      </c>
      <c r="V143" s="2" t="str">
        <f t="shared" si="23"/>
        <v>Demande que soit rappelé au directeur d'école son devoir d'information des familles. Renvoi vers supérieur hiérarchique: IEN Circo &amp;&amp;&amp;&amp;&amp;</v>
      </c>
      <c r="W143">
        <f t="shared" si="24"/>
        <v>1</v>
      </c>
      <c r="X143" t="str">
        <f t="shared" si="25"/>
        <v/>
      </c>
      <c r="Y143" t="str">
        <f t="shared" si="26"/>
        <v/>
      </c>
      <c r="Z143" t="str">
        <f t="shared" si="27"/>
        <v/>
      </c>
      <c r="AA143" t="str">
        <f t="shared" si="28"/>
        <v/>
      </c>
      <c r="AB143" t="str">
        <f t="shared" si="29"/>
        <v/>
      </c>
      <c r="AC143" t="str">
        <f t="shared" si="30"/>
        <v/>
      </c>
    </row>
    <row r="144" spans="1:29" x14ac:dyDescent="0.35">
      <c r="A144" s="1">
        <v>45604</v>
      </c>
      <c r="B144" s="1">
        <v>45614</v>
      </c>
      <c r="C144">
        <v>250761</v>
      </c>
      <c r="D144" t="s">
        <v>111</v>
      </c>
      <c r="E144" t="s">
        <v>14</v>
      </c>
      <c r="F144" t="s">
        <v>15</v>
      </c>
      <c r="G144" t="s">
        <v>16</v>
      </c>
      <c r="H144" t="s">
        <v>116</v>
      </c>
      <c r="I144" t="s">
        <v>43</v>
      </c>
      <c r="J144" t="s">
        <v>26</v>
      </c>
      <c r="K144" t="s">
        <v>38</v>
      </c>
      <c r="L144" t="s">
        <v>81</v>
      </c>
      <c r="M144" t="s">
        <v>343</v>
      </c>
      <c r="T144">
        <f t="shared" si="22"/>
        <v>1</v>
      </c>
      <c r="V144" s="2" t="str">
        <f t="shared" si="23"/>
        <v>Conteste les modalités de mise en œuvre du PPS de son fils. L'IEN SDEI m'informe de la complexité de la relation avec la famille, la référente suit la situation étroitement et doit rencontrer la famille&amp;&amp;&amp;&amp;&amp;</v>
      </c>
      <c r="W144">
        <f t="shared" si="24"/>
        <v>1</v>
      </c>
      <c r="X144" t="str">
        <f t="shared" si="25"/>
        <v/>
      </c>
      <c r="Y144" t="str">
        <f t="shared" si="26"/>
        <v/>
      </c>
      <c r="Z144" t="str">
        <f t="shared" si="27"/>
        <v/>
      </c>
      <c r="AA144" t="str">
        <f t="shared" si="28"/>
        <v/>
      </c>
      <c r="AB144" t="str">
        <f t="shared" si="29"/>
        <v/>
      </c>
      <c r="AC144" t="str">
        <f t="shared" si="30"/>
        <v/>
      </c>
    </row>
    <row r="145" spans="1:29" x14ac:dyDescent="0.35">
      <c r="A145" s="1">
        <v>45603</v>
      </c>
      <c r="B145" s="1">
        <v>45615</v>
      </c>
      <c r="C145">
        <v>249716</v>
      </c>
      <c r="D145" t="s">
        <v>93</v>
      </c>
      <c r="E145" t="s">
        <v>28</v>
      </c>
      <c r="F145" t="s">
        <v>29</v>
      </c>
      <c r="G145" t="s">
        <v>36</v>
      </c>
      <c r="H145" t="s">
        <v>67</v>
      </c>
      <c r="I145" t="s">
        <v>18</v>
      </c>
      <c r="J145" t="s">
        <v>26</v>
      </c>
      <c r="K145" t="s">
        <v>38</v>
      </c>
      <c r="L145" t="s">
        <v>81</v>
      </c>
      <c r="M145" t="s">
        <v>266</v>
      </c>
      <c r="T145">
        <f t="shared" si="22"/>
        <v>1</v>
      </c>
      <c r="U145" t="s">
        <v>328</v>
      </c>
      <c r="V145" s="2" t="str">
        <f t="shared" si="23"/>
        <v>demande retour collège après IEF, affectation a tardé du fait des tests à passer&amp;&amp;&amp;&amp;&amp;</v>
      </c>
      <c r="W145" t="str">
        <f t="shared" si="24"/>
        <v/>
      </c>
      <c r="X145" t="str">
        <f t="shared" si="25"/>
        <v/>
      </c>
      <c r="Y145" t="str">
        <f t="shared" si="26"/>
        <v/>
      </c>
      <c r="Z145" t="str">
        <f t="shared" si="27"/>
        <v/>
      </c>
      <c r="AA145" t="str">
        <f t="shared" si="28"/>
        <v/>
      </c>
      <c r="AB145" t="str">
        <f t="shared" si="29"/>
        <v/>
      </c>
      <c r="AC145">
        <f t="shared" si="30"/>
        <v>1</v>
      </c>
    </row>
    <row r="146" spans="1:29" x14ac:dyDescent="0.35">
      <c r="A146" s="1">
        <v>45603</v>
      </c>
      <c r="B146" s="1">
        <v>45604</v>
      </c>
      <c r="C146">
        <v>249771</v>
      </c>
      <c r="D146" t="s">
        <v>97</v>
      </c>
      <c r="E146" t="s">
        <v>32</v>
      </c>
      <c r="F146" t="s">
        <v>105</v>
      </c>
      <c r="G146" t="s">
        <v>16</v>
      </c>
      <c r="H146" t="s">
        <v>17</v>
      </c>
      <c r="I146" t="s">
        <v>18</v>
      </c>
      <c r="J146" t="s">
        <v>19</v>
      </c>
      <c r="M146" t="s">
        <v>344</v>
      </c>
      <c r="T146">
        <f t="shared" si="22"/>
        <v>1</v>
      </c>
      <c r="V146" s="2" t="str">
        <f t="shared" si="23"/>
        <v>Conflit de la famille avec la direction dans un contexte de téléphone cassé et de harcèlement antérieur&amp;&amp;&amp;&amp;&amp;</v>
      </c>
      <c r="W146">
        <f t="shared" si="24"/>
        <v>1</v>
      </c>
      <c r="X146" t="str">
        <f t="shared" si="25"/>
        <v/>
      </c>
      <c r="Y146" t="str">
        <f t="shared" si="26"/>
        <v/>
      </c>
      <c r="Z146" t="str">
        <f t="shared" si="27"/>
        <v/>
      </c>
      <c r="AA146" t="str">
        <f t="shared" si="28"/>
        <v/>
      </c>
      <c r="AB146" t="str">
        <f t="shared" si="29"/>
        <v/>
      </c>
      <c r="AC146" t="str">
        <f t="shared" si="30"/>
        <v/>
      </c>
    </row>
    <row r="147" spans="1:29" x14ac:dyDescent="0.35">
      <c r="A147" s="1">
        <v>45603</v>
      </c>
      <c r="B147" s="1">
        <v>45603</v>
      </c>
      <c r="C147">
        <v>249853</v>
      </c>
      <c r="D147" t="s">
        <v>78</v>
      </c>
      <c r="E147" t="s">
        <v>14</v>
      </c>
      <c r="F147" t="s">
        <v>15</v>
      </c>
      <c r="G147" t="s">
        <v>16</v>
      </c>
      <c r="H147" t="s">
        <v>116</v>
      </c>
      <c r="I147" t="s">
        <v>18</v>
      </c>
      <c r="J147" t="s">
        <v>26</v>
      </c>
      <c r="K147" t="s">
        <v>38</v>
      </c>
      <c r="L147" t="s">
        <v>81</v>
      </c>
      <c r="M147" t="s">
        <v>267</v>
      </c>
      <c r="T147">
        <f t="shared" si="22"/>
        <v>1</v>
      </c>
      <c r="V147" s="2" t="str">
        <f t="shared" si="23"/>
        <v>Famille demande un changement de classe au sein de l'école. La directrice refuse. Le médiateur renseigne la famille sur la possibilité des recours possibles (IEN et DASEN) seuls décisionnaires.&amp;&amp;&amp;&amp;&amp;</v>
      </c>
      <c r="W147">
        <f t="shared" si="24"/>
        <v>1</v>
      </c>
      <c r="X147" t="str">
        <f t="shared" si="25"/>
        <v/>
      </c>
      <c r="Y147" t="str">
        <f t="shared" si="26"/>
        <v/>
      </c>
      <c r="Z147" t="str">
        <f t="shared" si="27"/>
        <v/>
      </c>
      <c r="AA147" t="str">
        <f t="shared" si="28"/>
        <v/>
      </c>
      <c r="AB147" t="str">
        <f t="shared" si="29"/>
        <v/>
      </c>
      <c r="AC147" t="str">
        <f t="shared" si="30"/>
        <v/>
      </c>
    </row>
    <row r="148" spans="1:29" x14ac:dyDescent="0.35">
      <c r="A148" s="1">
        <v>45603</v>
      </c>
      <c r="B148" s="1">
        <v>45610</v>
      </c>
      <c r="C148">
        <v>250845</v>
      </c>
      <c r="D148" t="s">
        <v>20</v>
      </c>
      <c r="E148" t="s">
        <v>14</v>
      </c>
      <c r="F148" t="s">
        <v>15</v>
      </c>
      <c r="G148" t="s">
        <v>16</v>
      </c>
      <c r="H148" t="s">
        <v>69</v>
      </c>
      <c r="I148" t="s">
        <v>18</v>
      </c>
      <c r="J148" t="s">
        <v>60</v>
      </c>
      <c r="M148" t="s">
        <v>345</v>
      </c>
      <c r="T148">
        <f t="shared" si="22"/>
        <v>1</v>
      </c>
      <c r="V148" s="2" t="str">
        <f t="shared" si="23"/>
        <v>M fait intervenir son assureur pour obtenir info complémentaire sur accident. Transmission de la   demande à la DIVEL et famille informée&amp;&amp;&amp;&amp;&amp;</v>
      </c>
      <c r="W148">
        <f t="shared" si="24"/>
        <v>1</v>
      </c>
      <c r="X148" t="str">
        <f t="shared" si="25"/>
        <v/>
      </c>
      <c r="Y148" t="str">
        <f t="shared" si="26"/>
        <v/>
      </c>
      <c r="Z148" t="str">
        <f t="shared" si="27"/>
        <v/>
      </c>
      <c r="AA148" t="str">
        <f t="shared" si="28"/>
        <v/>
      </c>
      <c r="AB148" t="str">
        <f t="shared" si="29"/>
        <v/>
      </c>
      <c r="AC148" t="str">
        <f t="shared" si="30"/>
        <v/>
      </c>
    </row>
    <row r="149" spans="1:29" x14ac:dyDescent="0.35">
      <c r="A149" s="1">
        <v>45602</v>
      </c>
      <c r="B149" s="1">
        <v>45603</v>
      </c>
      <c r="C149">
        <v>249678</v>
      </c>
      <c r="D149" t="s">
        <v>20</v>
      </c>
      <c r="E149" t="s">
        <v>28</v>
      </c>
      <c r="F149" t="s">
        <v>47</v>
      </c>
      <c r="G149" t="s">
        <v>36</v>
      </c>
      <c r="H149" t="s">
        <v>94</v>
      </c>
      <c r="I149" t="s">
        <v>18</v>
      </c>
      <c r="J149" t="s">
        <v>19</v>
      </c>
      <c r="M149" t="s">
        <v>268</v>
      </c>
      <c r="T149">
        <f t="shared" si="22"/>
        <v>1</v>
      </c>
      <c r="V149" s="2" t="str">
        <f t="shared" si="23"/>
        <v>la mère de famille demande une affectation dans un établissement des Yvelines après un retour de l'enfant au foyer maternelle. Les coordonnées de la DVSCO78 sont transmises.&amp;&amp;&amp;&amp;&amp;</v>
      </c>
      <c r="W149">
        <f t="shared" si="24"/>
        <v>1</v>
      </c>
      <c r="X149" t="str">
        <f t="shared" si="25"/>
        <v/>
      </c>
      <c r="Y149" t="str">
        <f t="shared" si="26"/>
        <v/>
      </c>
      <c r="Z149" t="str">
        <f t="shared" si="27"/>
        <v/>
      </c>
      <c r="AA149" t="str">
        <f t="shared" si="28"/>
        <v/>
      </c>
      <c r="AB149" t="str">
        <f t="shared" si="29"/>
        <v/>
      </c>
      <c r="AC149" t="str">
        <f t="shared" si="30"/>
        <v/>
      </c>
    </row>
    <row r="150" spans="1:29" x14ac:dyDescent="0.35">
      <c r="A150" s="1">
        <v>45602</v>
      </c>
      <c r="B150" s="1">
        <v>45604</v>
      </c>
      <c r="C150">
        <v>249757</v>
      </c>
      <c r="D150" t="s">
        <v>58</v>
      </c>
      <c r="E150" t="s">
        <v>28</v>
      </c>
      <c r="F150" t="s">
        <v>55</v>
      </c>
      <c r="G150" t="s">
        <v>16</v>
      </c>
      <c r="H150" t="s">
        <v>79</v>
      </c>
      <c r="I150" t="s">
        <v>61</v>
      </c>
      <c r="J150" t="s">
        <v>26</v>
      </c>
      <c r="K150" t="s">
        <v>38</v>
      </c>
      <c r="L150" t="s">
        <v>81</v>
      </c>
      <c r="M150" t="s">
        <v>269</v>
      </c>
      <c r="T150">
        <f t="shared" si="22"/>
        <v>1</v>
      </c>
      <c r="U150" t="s">
        <v>328</v>
      </c>
      <c r="V150" s="2" t="str">
        <f t="shared" si="23"/>
        <v>La mère veut demander l'IEF pour son enfant qui serait harcelée. Nous la dirigeons vers le service concernée et lui proposons de contacter la cellule harcèlement. Nous prévenons les deux services.&amp;&amp;&amp;&amp;&amp;</v>
      </c>
      <c r="W150" t="str">
        <f t="shared" si="24"/>
        <v/>
      </c>
      <c r="X150" t="str">
        <f t="shared" si="25"/>
        <v/>
      </c>
      <c r="Y150" t="str">
        <f t="shared" si="26"/>
        <v/>
      </c>
      <c r="Z150" t="str">
        <f t="shared" si="27"/>
        <v/>
      </c>
      <c r="AA150" t="str">
        <f t="shared" si="28"/>
        <v/>
      </c>
      <c r="AB150" t="str">
        <f t="shared" si="29"/>
        <v/>
      </c>
      <c r="AC150">
        <f t="shared" si="30"/>
        <v>1</v>
      </c>
    </row>
    <row r="151" spans="1:29" x14ac:dyDescent="0.35">
      <c r="A151" s="1">
        <v>45602</v>
      </c>
      <c r="B151" s="1">
        <v>45603</v>
      </c>
      <c r="C151">
        <v>249851</v>
      </c>
      <c r="D151" t="s">
        <v>78</v>
      </c>
      <c r="E151" t="s">
        <v>32</v>
      </c>
      <c r="F151" t="s">
        <v>53</v>
      </c>
      <c r="G151" t="s">
        <v>16</v>
      </c>
      <c r="H151" t="s">
        <v>69</v>
      </c>
      <c r="I151" t="s">
        <v>75</v>
      </c>
      <c r="J151" t="s">
        <v>26</v>
      </c>
      <c r="K151" t="s">
        <v>25</v>
      </c>
      <c r="M151" t="s">
        <v>270</v>
      </c>
      <c r="T151">
        <f t="shared" si="22"/>
        <v>1</v>
      </c>
      <c r="V151" s="2" t="str">
        <f t="shared" si="23"/>
        <v>Cette demande relève de l'enseignement agricole : famille doit prendre l'attache de la DRAAF LYON.&amp;&amp;&amp;&amp;&amp;</v>
      </c>
      <c r="W151">
        <f t="shared" si="24"/>
        <v>1</v>
      </c>
      <c r="X151" t="str">
        <f t="shared" si="25"/>
        <v/>
      </c>
      <c r="Y151" t="str">
        <f t="shared" si="26"/>
        <v/>
      </c>
      <c r="Z151" t="str">
        <f t="shared" si="27"/>
        <v/>
      </c>
      <c r="AA151" t="str">
        <f t="shared" si="28"/>
        <v/>
      </c>
      <c r="AB151" t="str">
        <f t="shared" si="29"/>
        <v/>
      </c>
      <c r="AC151" t="str">
        <f t="shared" si="30"/>
        <v/>
      </c>
    </row>
    <row r="152" spans="1:29" x14ac:dyDescent="0.35">
      <c r="A152" s="1">
        <v>45602</v>
      </c>
      <c r="B152" s="1">
        <v>45604</v>
      </c>
      <c r="C152">
        <v>249852</v>
      </c>
      <c r="D152" t="s">
        <v>78</v>
      </c>
      <c r="E152" t="s">
        <v>28</v>
      </c>
      <c r="F152" t="s">
        <v>47</v>
      </c>
      <c r="G152" t="s">
        <v>23</v>
      </c>
      <c r="H152" t="s">
        <v>87</v>
      </c>
      <c r="I152" t="s">
        <v>18</v>
      </c>
      <c r="J152" t="s">
        <v>26</v>
      </c>
      <c r="K152" t="s">
        <v>38</v>
      </c>
      <c r="L152" t="s">
        <v>39</v>
      </c>
      <c r="M152" t="s">
        <v>271</v>
      </c>
      <c r="T152">
        <f t="shared" si="22"/>
        <v>1</v>
      </c>
      <c r="V152" s="2" t="str">
        <f t="shared" si="23"/>
        <v>Famille réclame : paiement des indemnités de stage et frais de cantine pour leur fils. Suite à l'intervention du médiateur situation aussitôt débloquée par le lycée.&amp;&amp;&amp;&amp;&amp;</v>
      </c>
      <c r="W152">
        <f t="shared" si="24"/>
        <v>1</v>
      </c>
      <c r="X152" t="str">
        <f t="shared" si="25"/>
        <v/>
      </c>
      <c r="Y152" t="str">
        <f t="shared" si="26"/>
        <v/>
      </c>
      <c r="Z152" t="str">
        <f t="shared" si="27"/>
        <v/>
      </c>
      <c r="AA152" t="str">
        <f t="shared" si="28"/>
        <v/>
      </c>
      <c r="AB152" t="str">
        <f t="shared" si="29"/>
        <v/>
      </c>
      <c r="AC152" t="str">
        <f t="shared" si="30"/>
        <v/>
      </c>
    </row>
    <row r="153" spans="1:29" x14ac:dyDescent="0.35">
      <c r="A153" s="1">
        <v>45602</v>
      </c>
      <c r="B153" s="1">
        <v>45611</v>
      </c>
      <c r="C153">
        <v>250210</v>
      </c>
      <c r="D153" t="s">
        <v>95</v>
      </c>
      <c r="E153" t="s">
        <v>28</v>
      </c>
      <c r="F153" t="s">
        <v>71</v>
      </c>
      <c r="G153" t="s">
        <v>16</v>
      </c>
      <c r="H153" t="s">
        <v>69</v>
      </c>
      <c r="I153" t="s">
        <v>143</v>
      </c>
      <c r="J153" t="s">
        <v>26</v>
      </c>
      <c r="K153" t="s">
        <v>25</v>
      </c>
      <c r="M153" t="s">
        <v>272</v>
      </c>
      <c r="T153">
        <f t="shared" si="22"/>
        <v>1</v>
      </c>
      <c r="V153" s="2" t="str">
        <f t="shared" si="23"/>
        <v>Propos racistes prononcés par le professeur de math. Non esprimés contre le requérant. Alerte de la famille, le professeur est arrêté et non remplacé&amp;&amp;&amp;&amp;&amp;</v>
      </c>
      <c r="W153">
        <f t="shared" si="24"/>
        <v>1</v>
      </c>
      <c r="X153" t="str">
        <f t="shared" si="25"/>
        <v/>
      </c>
      <c r="Y153" t="str">
        <f t="shared" si="26"/>
        <v/>
      </c>
      <c r="Z153" t="str">
        <f t="shared" si="27"/>
        <v/>
      </c>
      <c r="AA153" t="str">
        <f t="shared" si="28"/>
        <v/>
      </c>
      <c r="AB153" t="str">
        <f t="shared" si="29"/>
        <v/>
      </c>
      <c r="AC153" t="str">
        <f t="shared" si="30"/>
        <v/>
      </c>
    </row>
    <row r="154" spans="1:29" x14ac:dyDescent="0.35">
      <c r="A154" s="1">
        <v>45602</v>
      </c>
      <c r="B154" s="1">
        <v>45618</v>
      </c>
      <c r="C154">
        <v>250626</v>
      </c>
      <c r="D154" t="s">
        <v>31</v>
      </c>
      <c r="E154" t="s">
        <v>32</v>
      </c>
      <c r="F154" t="s">
        <v>50</v>
      </c>
      <c r="G154" t="s">
        <v>36</v>
      </c>
      <c r="H154" t="s">
        <v>110</v>
      </c>
      <c r="I154" t="s">
        <v>51</v>
      </c>
      <c r="J154" t="s">
        <v>19</v>
      </c>
      <c r="M154" t="s">
        <v>273</v>
      </c>
      <c r="T154">
        <f t="shared" si="22"/>
        <v>1</v>
      </c>
      <c r="V154" s="2" t="str">
        <f t="shared" si="23"/>
        <v>Etudiante étrangère veut informations sur PUIE et en particulier son doctorat à distance. Lui répond non reconnu par MESR&amp;&amp;&amp;&amp;&amp;</v>
      </c>
      <c r="W154" t="str">
        <f t="shared" si="24"/>
        <v/>
      </c>
      <c r="X154" t="str">
        <f t="shared" si="25"/>
        <v/>
      </c>
      <c r="Y154" t="str">
        <f t="shared" si="26"/>
        <v/>
      </c>
      <c r="Z154" t="str">
        <f t="shared" si="27"/>
        <v/>
      </c>
      <c r="AA154">
        <f t="shared" si="28"/>
        <v>1</v>
      </c>
      <c r="AB154" t="str">
        <f t="shared" si="29"/>
        <v/>
      </c>
      <c r="AC154" t="str">
        <f t="shared" si="30"/>
        <v/>
      </c>
    </row>
    <row r="155" spans="1:29" x14ac:dyDescent="0.35">
      <c r="A155" s="1">
        <v>45601</v>
      </c>
      <c r="B155" s="1">
        <v>45601</v>
      </c>
      <c r="C155">
        <v>249565</v>
      </c>
      <c r="D155" t="s">
        <v>46</v>
      </c>
      <c r="E155" t="s">
        <v>14</v>
      </c>
      <c r="F155" t="s">
        <v>90</v>
      </c>
      <c r="G155" t="s">
        <v>16</v>
      </c>
      <c r="H155" t="s">
        <v>89</v>
      </c>
      <c r="I155" t="s">
        <v>18</v>
      </c>
      <c r="J155" t="s">
        <v>19</v>
      </c>
      <c r="M155" t="s">
        <v>274</v>
      </c>
      <c r="T155">
        <f t="shared" si="22"/>
        <v>1</v>
      </c>
      <c r="V155" s="2" t="str">
        <f t="shared" si="23"/>
        <v>Demande conseil. Fils 2 ans1/2, accusé d'attouchements sur une de ses camarades. Doit informer immédiatement l'IEN de la circonscription de la situation, mais ne pas entrer en contact direct avec l'autre famille pour éviter tout risque de dérapage&amp;&amp;&amp;&amp;&amp;</v>
      </c>
      <c r="W155">
        <f t="shared" si="24"/>
        <v>1</v>
      </c>
      <c r="X155" t="str">
        <f t="shared" si="25"/>
        <v/>
      </c>
      <c r="Y155" t="str">
        <f t="shared" si="26"/>
        <v/>
      </c>
      <c r="Z155" t="str">
        <f t="shared" si="27"/>
        <v/>
      </c>
      <c r="AA155" t="str">
        <f t="shared" si="28"/>
        <v/>
      </c>
      <c r="AB155" t="str">
        <f t="shared" si="29"/>
        <v/>
      </c>
      <c r="AC155" t="str">
        <f t="shared" si="30"/>
        <v/>
      </c>
    </row>
    <row r="156" spans="1:29" x14ac:dyDescent="0.35">
      <c r="A156" s="1">
        <v>45601</v>
      </c>
      <c r="B156" s="1">
        <v>45631</v>
      </c>
      <c r="C156">
        <v>249644</v>
      </c>
      <c r="D156" t="s">
        <v>27</v>
      </c>
      <c r="E156" t="s">
        <v>14</v>
      </c>
      <c r="F156" t="s">
        <v>90</v>
      </c>
      <c r="G156" t="s">
        <v>16</v>
      </c>
      <c r="H156" t="s">
        <v>69</v>
      </c>
      <c r="I156" t="s">
        <v>96</v>
      </c>
      <c r="J156" t="s">
        <v>26</v>
      </c>
      <c r="K156" t="s">
        <v>57</v>
      </c>
      <c r="M156" t="s">
        <v>275</v>
      </c>
      <c r="T156">
        <f t="shared" si="22"/>
        <v>1</v>
      </c>
      <c r="V156" s="2" t="str">
        <f t="shared" si="23"/>
        <v>Père d'élève qui alerte sur les agressions subies par son fils. M. dde des précisions et contacte l'IEN de circo mais la famille porte plainte contre la directrice dans le même temps. Médiation n'a donc plus lieu d'être&amp;&amp;&amp;&amp;&amp;</v>
      </c>
      <c r="W156">
        <f t="shared" si="24"/>
        <v>1</v>
      </c>
      <c r="X156" t="str">
        <f t="shared" si="25"/>
        <v/>
      </c>
      <c r="Y156" t="str">
        <f t="shared" si="26"/>
        <v/>
      </c>
      <c r="Z156" t="str">
        <f t="shared" si="27"/>
        <v/>
      </c>
      <c r="AA156" t="str">
        <f t="shared" si="28"/>
        <v/>
      </c>
      <c r="AB156" t="str">
        <f t="shared" si="29"/>
        <v/>
      </c>
      <c r="AC156" t="str">
        <f t="shared" si="30"/>
        <v/>
      </c>
    </row>
    <row r="157" spans="1:29" x14ac:dyDescent="0.35">
      <c r="A157" s="1">
        <v>45601</v>
      </c>
      <c r="B157" s="1">
        <v>45604</v>
      </c>
      <c r="C157">
        <v>249803</v>
      </c>
      <c r="D157" t="s">
        <v>13</v>
      </c>
      <c r="E157" t="s">
        <v>28</v>
      </c>
      <c r="F157" t="s">
        <v>44</v>
      </c>
      <c r="G157" t="s">
        <v>41</v>
      </c>
      <c r="H157" t="s">
        <v>141</v>
      </c>
      <c r="I157" t="s">
        <v>18</v>
      </c>
      <c r="J157" t="s">
        <v>26</v>
      </c>
      <c r="K157" t="s">
        <v>38</v>
      </c>
      <c r="L157" t="s">
        <v>39</v>
      </c>
      <c r="M157" t="s">
        <v>276</v>
      </c>
      <c r="T157">
        <f t="shared" si="22"/>
        <v>1</v>
      </c>
      <c r="V157" s="2" t="str">
        <f t="shared" si="23"/>
        <v>Conteste un zéro obtenu après deux absences à l'évaluation de la spécialité de 1ère abandonnée en Term. Proviseur propose le rattrapage en décembre. Famille accepte&amp;&amp;&amp;&amp;&amp;</v>
      </c>
      <c r="W157">
        <f t="shared" si="24"/>
        <v>1</v>
      </c>
      <c r="X157" t="str">
        <f t="shared" si="25"/>
        <v/>
      </c>
      <c r="Y157" t="str">
        <f t="shared" si="26"/>
        <v/>
      </c>
      <c r="Z157" t="str">
        <f t="shared" si="27"/>
        <v/>
      </c>
      <c r="AA157" t="str">
        <f t="shared" si="28"/>
        <v/>
      </c>
      <c r="AB157" t="str">
        <f t="shared" si="29"/>
        <v/>
      </c>
      <c r="AC157" t="str">
        <f t="shared" si="30"/>
        <v/>
      </c>
    </row>
    <row r="158" spans="1:29" x14ac:dyDescent="0.35">
      <c r="A158" s="1">
        <v>45600</v>
      </c>
      <c r="B158" s="1">
        <v>45624</v>
      </c>
      <c r="C158">
        <v>249450</v>
      </c>
      <c r="D158" t="s">
        <v>133</v>
      </c>
      <c r="E158" t="s">
        <v>28</v>
      </c>
      <c r="F158" t="s">
        <v>55</v>
      </c>
      <c r="G158" t="s">
        <v>16</v>
      </c>
      <c r="H158" t="s">
        <v>79</v>
      </c>
      <c r="I158" t="s">
        <v>61</v>
      </c>
      <c r="J158" t="s">
        <v>26</v>
      </c>
      <c r="K158" t="s">
        <v>38</v>
      </c>
      <c r="L158" t="s">
        <v>81</v>
      </c>
      <c r="M158" t="s">
        <v>277</v>
      </c>
      <c r="T158">
        <f t="shared" si="22"/>
        <v>1</v>
      </c>
      <c r="V158" s="2" t="str">
        <f t="shared" si="23"/>
        <v>Elève harcelée.Dépôt de plainte.Réunion mise en place au sein du Clg, des décisions arrêtées par l'équipe de direction pour apaiser la situation mais elles ne conviennent pas à la famille. Med interroge chef d'établissement qui reverra les parents.&amp;&amp;&amp;&amp;&amp;</v>
      </c>
      <c r="W158">
        <f t="shared" si="24"/>
        <v>1</v>
      </c>
      <c r="X158" t="str">
        <f t="shared" si="25"/>
        <v/>
      </c>
      <c r="Y158" t="str">
        <f t="shared" si="26"/>
        <v/>
      </c>
      <c r="Z158" t="str">
        <f t="shared" si="27"/>
        <v/>
      </c>
      <c r="AA158" t="str">
        <f t="shared" si="28"/>
        <v/>
      </c>
      <c r="AB158" t="str">
        <f t="shared" si="29"/>
        <v/>
      </c>
      <c r="AC158" t="str">
        <f t="shared" si="30"/>
        <v/>
      </c>
    </row>
    <row r="159" spans="1:29" x14ac:dyDescent="0.35">
      <c r="A159" s="1">
        <v>45600</v>
      </c>
      <c r="B159" s="1">
        <v>45601</v>
      </c>
      <c r="C159">
        <v>249485</v>
      </c>
      <c r="D159" t="s">
        <v>109</v>
      </c>
      <c r="E159" t="s">
        <v>28</v>
      </c>
      <c r="F159" t="s">
        <v>55</v>
      </c>
      <c r="G159" t="s">
        <v>16</v>
      </c>
      <c r="H159" t="s">
        <v>89</v>
      </c>
      <c r="I159" t="s">
        <v>18</v>
      </c>
      <c r="J159" t="s">
        <v>26</v>
      </c>
      <c r="K159" t="s">
        <v>25</v>
      </c>
      <c r="M159" t="s">
        <v>278</v>
      </c>
      <c r="T159">
        <f t="shared" si="22"/>
        <v>1</v>
      </c>
      <c r="V159" s="2" t="str">
        <f t="shared" si="23"/>
        <v>Famille conteste sanction disciplinaire Principal leur fournira des explications complémentaires&amp;&amp;&amp;&amp;&amp;</v>
      </c>
      <c r="W159">
        <f t="shared" si="24"/>
        <v>1</v>
      </c>
      <c r="X159" t="str">
        <f t="shared" si="25"/>
        <v/>
      </c>
      <c r="Y159" t="str">
        <f t="shared" si="26"/>
        <v/>
      </c>
      <c r="Z159" t="str">
        <f t="shared" si="27"/>
        <v/>
      </c>
      <c r="AA159" t="str">
        <f t="shared" si="28"/>
        <v/>
      </c>
      <c r="AB159" t="str">
        <f t="shared" si="29"/>
        <v/>
      </c>
      <c r="AC159" t="str">
        <f t="shared" si="30"/>
        <v/>
      </c>
    </row>
    <row r="160" spans="1:29" x14ac:dyDescent="0.35">
      <c r="A160" s="1">
        <v>45600</v>
      </c>
      <c r="B160" s="1">
        <v>45610</v>
      </c>
      <c r="C160">
        <v>250102</v>
      </c>
      <c r="D160" t="s">
        <v>82</v>
      </c>
      <c r="E160" t="s">
        <v>28</v>
      </c>
      <c r="F160" t="s">
        <v>71</v>
      </c>
      <c r="G160" t="s">
        <v>16</v>
      </c>
      <c r="H160" s="3" t="s">
        <v>182</v>
      </c>
      <c r="I160" t="s">
        <v>75</v>
      </c>
      <c r="J160" t="s">
        <v>26</v>
      </c>
      <c r="K160" t="s">
        <v>25</v>
      </c>
      <c r="M160" t="s">
        <v>348</v>
      </c>
      <c r="T160">
        <v>1</v>
      </c>
      <c r="U160" t="s">
        <v>328</v>
      </c>
      <c r="V160" s="2" t="str">
        <f t="shared" si="23"/>
        <v>Demande de CNED. Lycée JR&amp;&amp;&amp;&amp;&amp;</v>
      </c>
      <c r="W160" t="str">
        <f t="shared" si="24"/>
        <v/>
      </c>
      <c r="X160" t="str">
        <f t="shared" si="25"/>
        <v/>
      </c>
      <c r="Y160" t="str">
        <f t="shared" si="26"/>
        <v/>
      </c>
      <c r="Z160" t="str">
        <f t="shared" si="27"/>
        <v/>
      </c>
      <c r="AA160" t="str">
        <f t="shared" si="28"/>
        <v/>
      </c>
      <c r="AB160" t="str">
        <f t="shared" si="29"/>
        <v/>
      </c>
      <c r="AC160" t="str">
        <f t="shared" si="30"/>
        <v/>
      </c>
    </row>
    <row r="161" spans="1:29" x14ac:dyDescent="0.35">
      <c r="A161" s="1">
        <v>45599</v>
      </c>
      <c r="B161" s="1">
        <v>45602</v>
      </c>
      <c r="C161">
        <v>249419</v>
      </c>
      <c r="D161" t="s">
        <v>111</v>
      </c>
      <c r="E161" t="s">
        <v>21</v>
      </c>
      <c r="F161" t="s">
        <v>22</v>
      </c>
      <c r="G161" t="s">
        <v>23</v>
      </c>
      <c r="H161" t="s">
        <v>24</v>
      </c>
      <c r="I161" t="s">
        <v>18</v>
      </c>
      <c r="J161" t="s">
        <v>26</v>
      </c>
      <c r="K161" t="s">
        <v>25</v>
      </c>
      <c r="M161" t="s">
        <v>279</v>
      </c>
      <c r="T161">
        <f t="shared" ref="T161:T192" si="31">IF(SUM(W161:AC161)&gt;0,1,"")</f>
        <v>1</v>
      </c>
      <c r="V161" s="2" t="str">
        <f t="shared" si="23"/>
        <v>Une mère de famille se plaint que sa fille n'ait plus de bourse à la suite de 3 échecs&amp;&amp;&amp;&amp;&amp;</v>
      </c>
      <c r="W161">
        <f t="shared" si="24"/>
        <v>1</v>
      </c>
      <c r="X161" t="str">
        <f t="shared" si="25"/>
        <v/>
      </c>
      <c r="Y161" t="str">
        <f t="shared" si="26"/>
        <v/>
      </c>
      <c r="Z161" t="str">
        <f t="shared" si="27"/>
        <v/>
      </c>
      <c r="AA161" t="str">
        <f t="shared" si="28"/>
        <v/>
      </c>
      <c r="AB161" t="str">
        <f t="shared" si="29"/>
        <v/>
      </c>
      <c r="AC161" t="str">
        <f t="shared" si="30"/>
        <v/>
      </c>
    </row>
    <row r="162" spans="1:29" x14ac:dyDescent="0.35">
      <c r="A162" s="1">
        <v>45596</v>
      </c>
      <c r="B162" s="1">
        <v>45598</v>
      </c>
      <c r="C162">
        <v>249377</v>
      </c>
      <c r="D162" t="s">
        <v>93</v>
      </c>
      <c r="E162" t="s">
        <v>28</v>
      </c>
      <c r="F162" t="s">
        <v>117</v>
      </c>
      <c r="G162" t="s">
        <v>16</v>
      </c>
      <c r="H162" t="s">
        <v>17</v>
      </c>
      <c r="I162" t="s">
        <v>18</v>
      </c>
      <c r="J162" t="s">
        <v>26</v>
      </c>
      <c r="K162" t="s">
        <v>57</v>
      </c>
      <c r="M162" t="s">
        <v>280</v>
      </c>
      <c r="T162">
        <f t="shared" si="31"/>
        <v>1</v>
      </c>
      <c r="V162" s="2" t="str">
        <f t="shared" si="23"/>
        <v>31 oct: mail à la famille et au proviseur 2 nov: réponse de la famille : dossier clos&amp;&amp;&amp;&amp;&amp;</v>
      </c>
      <c r="W162">
        <f t="shared" si="24"/>
        <v>1</v>
      </c>
      <c r="X162" t="str">
        <f t="shared" si="25"/>
        <v/>
      </c>
      <c r="Y162" t="str">
        <f t="shared" si="26"/>
        <v/>
      </c>
      <c r="Z162" t="str">
        <f t="shared" si="27"/>
        <v/>
      </c>
      <c r="AA162" t="str">
        <f t="shared" si="28"/>
        <v/>
      </c>
      <c r="AB162" t="str">
        <f t="shared" si="29"/>
        <v/>
      </c>
      <c r="AC162" t="str">
        <f t="shared" si="30"/>
        <v/>
      </c>
    </row>
    <row r="163" spans="1:29" x14ac:dyDescent="0.35">
      <c r="A163" s="1">
        <v>45596</v>
      </c>
      <c r="B163" s="1">
        <v>45609</v>
      </c>
      <c r="C163">
        <v>249379</v>
      </c>
      <c r="D163" t="s">
        <v>109</v>
      </c>
      <c r="E163" t="s">
        <v>28</v>
      </c>
      <c r="F163" t="s">
        <v>117</v>
      </c>
      <c r="G163" t="s">
        <v>16</v>
      </c>
      <c r="H163" s="3" t="s">
        <v>182</v>
      </c>
      <c r="I163" t="s">
        <v>18</v>
      </c>
      <c r="J163" t="s">
        <v>26</v>
      </c>
      <c r="K163" t="s">
        <v>25</v>
      </c>
      <c r="M163" t="s">
        <v>281</v>
      </c>
      <c r="T163">
        <f t="shared" si="31"/>
        <v>1</v>
      </c>
      <c r="U163" t="s">
        <v>328</v>
      </c>
      <c r="V163" s="2" t="str">
        <f t="shared" si="23"/>
        <v>Recours suite à refus d'IEF 2nde G Pas obtenu à l'issue de la 3e Redoublement autorisé&amp;&amp;&amp;&amp;&amp;</v>
      </c>
      <c r="W163" t="str">
        <f t="shared" si="24"/>
        <v/>
      </c>
      <c r="X163" t="str">
        <f t="shared" si="25"/>
        <v/>
      </c>
      <c r="Y163" t="str">
        <f t="shared" si="26"/>
        <v/>
      </c>
      <c r="Z163" t="str">
        <f t="shared" si="27"/>
        <v/>
      </c>
      <c r="AA163" t="str">
        <f t="shared" si="28"/>
        <v/>
      </c>
      <c r="AB163" t="str">
        <f t="shared" si="29"/>
        <v/>
      </c>
      <c r="AC163">
        <f t="shared" si="30"/>
        <v>1</v>
      </c>
    </row>
    <row r="164" spans="1:29" x14ac:dyDescent="0.35">
      <c r="A164" s="1">
        <v>45596</v>
      </c>
      <c r="B164" s="1">
        <v>45600</v>
      </c>
      <c r="C164">
        <v>249414</v>
      </c>
      <c r="D164" t="s">
        <v>52</v>
      </c>
      <c r="E164" t="s">
        <v>28</v>
      </c>
      <c r="F164" t="s">
        <v>55</v>
      </c>
      <c r="G164" t="s">
        <v>16</v>
      </c>
      <c r="H164" t="s">
        <v>116</v>
      </c>
      <c r="I164" t="s">
        <v>75</v>
      </c>
      <c r="J164" t="s">
        <v>19</v>
      </c>
      <c r="M164" t="s">
        <v>282</v>
      </c>
      <c r="T164">
        <f t="shared" si="31"/>
        <v>1</v>
      </c>
      <c r="U164" t="s">
        <v>328</v>
      </c>
      <c r="V164" s="2" t="str">
        <f t="shared" si="23"/>
        <v>Mère d'un élève de 3è qui veut le déscolariser pour l'inscrire au CNED pour IEF Media suggère dialogue avec collège avant de donner infos sur IEF&amp;&amp;&amp;&amp;&amp;</v>
      </c>
      <c r="W164" t="str">
        <f t="shared" si="24"/>
        <v/>
      </c>
      <c r="X164" t="str">
        <f t="shared" si="25"/>
        <v/>
      </c>
      <c r="Y164" t="str">
        <f t="shared" si="26"/>
        <v/>
      </c>
      <c r="Z164" t="str">
        <f t="shared" si="27"/>
        <v/>
      </c>
      <c r="AA164" t="str">
        <f t="shared" si="28"/>
        <v/>
      </c>
      <c r="AB164" t="str">
        <f t="shared" si="29"/>
        <v/>
      </c>
      <c r="AC164">
        <f t="shared" si="30"/>
        <v>1</v>
      </c>
    </row>
    <row r="165" spans="1:29" x14ac:dyDescent="0.35">
      <c r="A165" s="1">
        <v>45596</v>
      </c>
      <c r="B165" s="1">
        <v>45655</v>
      </c>
      <c r="C165">
        <v>249445</v>
      </c>
      <c r="D165" t="s">
        <v>133</v>
      </c>
      <c r="E165" t="s">
        <v>28</v>
      </c>
      <c r="F165" t="s">
        <v>55</v>
      </c>
      <c r="G165" t="s">
        <v>16</v>
      </c>
      <c r="H165" t="s">
        <v>69</v>
      </c>
      <c r="I165" t="s">
        <v>125</v>
      </c>
      <c r="J165" t="s">
        <v>26</v>
      </c>
      <c r="K165" t="s">
        <v>38</v>
      </c>
      <c r="L165" t="s">
        <v>112</v>
      </c>
      <c r="M165" t="s">
        <v>283</v>
      </c>
      <c r="T165">
        <f t="shared" si="31"/>
        <v>1</v>
      </c>
      <c r="V165" s="2" t="str">
        <f t="shared" si="23"/>
        <v>Elève ayant changé d'établissement suite à conseil de discipline. Après plusieurs semaines, la famille se plaint de ne toujours pas avoir accès à PRONOTE et de ne pas être entendue par le nouvel établissement. Intervention MED restée sans réponse.&amp;&amp;&amp;&amp;&amp;</v>
      </c>
      <c r="W165">
        <f t="shared" si="24"/>
        <v>1</v>
      </c>
      <c r="X165" t="str">
        <f t="shared" si="25"/>
        <v/>
      </c>
      <c r="Y165" t="str">
        <f t="shared" si="26"/>
        <v/>
      </c>
      <c r="Z165" t="str">
        <f t="shared" si="27"/>
        <v/>
      </c>
      <c r="AA165" t="str">
        <f t="shared" si="28"/>
        <v/>
      </c>
      <c r="AB165" t="str">
        <f t="shared" si="29"/>
        <v/>
      </c>
      <c r="AC165" t="str">
        <f t="shared" si="30"/>
        <v/>
      </c>
    </row>
    <row r="166" spans="1:29" x14ac:dyDescent="0.35">
      <c r="A166" s="1">
        <v>45596</v>
      </c>
      <c r="B166" s="1">
        <v>45601</v>
      </c>
      <c r="C166">
        <v>249576</v>
      </c>
      <c r="D166" t="s">
        <v>65</v>
      </c>
      <c r="E166" t="s">
        <v>14</v>
      </c>
      <c r="F166" t="s">
        <v>15</v>
      </c>
      <c r="G166" t="s">
        <v>36</v>
      </c>
      <c r="H166" t="s">
        <v>92</v>
      </c>
      <c r="I166" t="s">
        <v>18</v>
      </c>
      <c r="J166" t="s">
        <v>19</v>
      </c>
      <c r="M166" t="s">
        <v>284</v>
      </c>
      <c r="T166">
        <f t="shared" si="31"/>
        <v>1</v>
      </c>
      <c r="U166" t="s">
        <v>328</v>
      </c>
      <c r="V166" s="2" t="str">
        <f t="shared" si="23"/>
        <v>demande infos pour obtenir autorisation IEF&amp;&amp;&amp;&amp;&amp;</v>
      </c>
      <c r="W166" t="str">
        <f t="shared" si="24"/>
        <v/>
      </c>
      <c r="X166" t="str">
        <f t="shared" si="25"/>
        <v/>
      </c>
      <c r="Y166" t="str">
        <f t="shared" si="26"/>
        <v/>
      </c>
      <c r="Z166" t="str">
        <f t="shared" si="27"/>
        <v/>
      </c>
      <c r="AA166" t="str">
        <f t="shared" si="28"/>
        <v/>
      </c>
      <c r="AB166" t="str">
        <f t="shared" si="29"/>
        <v/>
      </c>
      <c r="AC166">
        <f t="shared" si="30"/>
        <v>1</v>
      </c>
    </row>
    <row r="167" spans="1:29" x14ac:dyDescent="0.35">
      <c r="A167" s="1">
        <v>45596</v>
      </c>
      <c r="B167" s="1">
        <v>45598</v>
      </c>
      <c r="C167">
        <v>249899</v>
      </c>
      <c r="D167" t="s">
        <v>27</v>
      </c>
      <c r="E167" t="s">
        <v>14</v>
      </c>
      <c r="F167" t="s">
        <v>15</v>
      </c>
      <c r="G167" t="s">
        <v>36</v>
      </c>
      <c r="H167" t="s">
        <v>37</v>
      </c>
      <c r="I167" t="s">
        <v>18</v>
      </c>
      <c r="J167" t="s">
        <v>26</v>
      </c>
      <c r="K167" t="s">
        <v>25</v>
      </c>
      <c r="M167" t="s">
        <v>285</v>
      </c>
      <c r="T167">
        <f t="shared" si="31"/>
        <v>1</v>
      </c>
      <c r="V167" s="2" t="str">
        <f t="shared" si="23"/>
        <v>Contestation de la décision de refus de l'instruction dans la famille pour les gens du voyage&amp;&amp;&amp;&amp;&amp;</v>
      </c>
      <c r="W167">
        <f t="shared" si="24"/>
        <v>1</v>
      </c>
      <c r="X167">
        <f t="shared" si="25"/>
        <v>1</v>
      </c>
      <c r="Y167" t="str">
        <f t="shared" si="26"/>
        <v/>
      </c>
      <c r="Z167" t="str">
        <f t="shared" si="27"/>
        <v/>
      </c>
      <c r="AA167" t="str">
        <f t="shared" si="28"/>
        <v/>
      </c>
      <c r="AB167" t="str">
        <f t="shared" si="29"/>
        <v/>
      </c>
      <c r="AC167" t="str">
        <f t="shared" si="30"/>
        <v/>
      </c>
    </row>
    <row r="168" spans="1:29" x14ac:dyDescent="0.35">
      <c r="A168" s="1">
        <v>45595</v>
      </c>
      <c r="B168" s="1">
        <v>45600</v>
      </c>
      <c r="C168">
        <v>249371</v>
      </c>
      <c r="D168" t="s">
        <v>98</v>
      </c>
      <c r="E168" t="s">
        <v>14</v>
      </c>
      <c r="F168" t="s">
        <v>90</v>
      </c>
      <c r="G168" t="s">
        <v>16</v>
      </c>
      <c r="H168" s="3" t="s">
        <v>182</v>
      </c>
      <c r="I168" t="s">
        <v>18</v>
      </c>
      <c r="J168" t="s">
        <v>26</v>
      </c>
      <c r="K168" t="s">
        <v>25</v>
      </c>
      <c r="M168" t="s">
        <v>286</v>
      </c>
      <c r="T168">
        <f t="shared" si="31"/>
        <v>1</v>
      </c>
      <c r="U168" t="s">
        <v>328</v>
      </c>
      <c r="V168" s="2" t="str">
        <f t="shared" si="23"/>
        <v>IEF refusée après RAPO AR le 31 oct Non suivi explications&amp;&amp;&amp;&amp;&amp;</v>
      </c>
      <c r="W168" t="str">
        <f t="shared" si="24"/>
        <v/>
      </c>
      <c r="X168" t="str">
        <f t="shared" si="25"/>
        <v/>
      </c>
      <c r="Y168" t="str">
        <f t="shared" si="26"/>
        <v/>
      </c>
      <c r="Z168" t="str">
        <f t="shared" si="27"/>
        <v/>
      </c>
      <c r="AA168" t="str">
        <f t="shared" si="28"/>
        <v/>
      </c>
      <c r="AB168" t="str">
        <f t="shared" si="29"/>
        <v/>
      </c>
      <c r="AC168">
        <f t="shared" si="30"/>
        <v>1</v>
      </c>
    </row>
    <row r="169" spans="1:29" x14ac:dyDescent="0.35">
      <c r="A169" s="1">
        <v>45595</v>
      </c>
      <c r="B169" s="1">
        <v>45600</v>
      </c>
      <c r="C169">
        <v>249849</v>
      </c>
      <c r="D169" t="s">
        <v>78</v>
      </c>
      <c r="E169" t="s">
        <v>14</v>
      </c>
      <c r="F169" t="s">
        <v>15</v>
      </c>
      <c r="G169" t="s">
        <v>16</v>
      </c>
      <c r="H169" t="s">
        <v>69</v>
      </c>
      <c r="I169" t="s">
        <v>75</v>
      </c>
      <c r="J169" t="s">
        <v>26</v>
      </c>
      <c r="K169" t="s">
        <v>38</v>
      </c>
      <c r="L169" t="s">
        <v>81</v>
      </c>
      <c r="M169" t="s">
        <v>287</v>
      </c>
      <c r="T169">
        <f t="shared" si="31"/>
        <v>1</v>
      </c>
      <c r="V169" s="2" t="str">
        <f t="shared" si="23"/>
        <v>Demande changement de classe (CE2) au sein de l'école. Refus directrice et IEN. Le médiateur informe la famille qu'elle peut exercer un recours gracieux auprès du DASEN38, seul décisionnaire.&amp;&amp;&amp;&amp;&amp;</v>
      </c>
      <c r="W169">
        <f t="shared" si="24"/>
        <v>1</v>
      </c>
      <c r="X169" t="str">
        <f t="shared" si="25"/>
        <v/>
      </c>
      <c r="Y169" t="str">
        <f t="shared" si="26"/>
        <v/>
      </c>
      <c r="Z169" t="str">
        <f t="shared" si="27"/>
        <v/>
      </c>
      <c r="AA169" t="str">
        <f t="shared" si="28"/>
        <v/>
      </c>
      <c r="AB169" t="str">
        <f t="shared" si="29"/>
        <v/>
      </c>
      <c r="AC169" t="str">
        <f t="shared" si="30"/>
        <v/>
      </c>
    </row>
    <row r="170" spans="1:29" x14ac:dyDescent="0.35">
      <c r="A170" s="1">
        <v>45594</v>
      </c>
      <c r="B170" s="1">
        <v>45617</v>
      </c>
      <c r="C170">
        <v>249315</v>
      </c>
      <c r="D170" t="s">
        <v>65</v>
      </c>
      <c r="E170" t="s">
        <v>28</v>
      </c>
      <c r="F170" t="s">
        <v>44</v>
      </c>
      <c r="G170" t="s">
        <v>23</v>
      </c>
      <c r="H170" t="s">
        <v>87</v>
      </c>
      <c r="I170" t="s">
        <v>18</v>
      </c>
      <c r="J170" t="s">
        <v>26</v>
      </c>
      <c r="K170" t="s">
        <v>38</v>
      </c>
      <c r="L170" t="s">
        <v>39</v>
      </c>
      <c r="M170" t="s">
        <v>288</v>
      </c>
      <c r="T170">
        <f t="shared" si="31"/>
        <v>1</v>
      </c>
      <c r="V170" s="2" t="str">
        <f t="shared" si="23"/>
        <v>père refuse de payer facture d'internat reçue avec deux années de retard. Demande de documents le 29 octobre. Le médiateur écrit au proviseur .  La facturation est bien justifiée. Explications fournies à la famille&amp;&amp;&amp;&amp;&amp;</v>
      </c>
      <c r="W170">
        <f t="shared" si="24"/>
        <v>1</v>
      </c>
      <c r="X170" t="str">
        <f t="shared" si="25"/>
        <v/>
      </c>
      <c r="Y170" t="str">
        <f t="shared" si="26"/>
        <v/>
      </c>
      <c r="Z170" t="str">
        <f t="shared" si="27"/>
        <v/>
      </c>
      <c r="AA170" t="str">
        <f t="shared" si="28"/>
        <v/>
      </c>
      <c r="AB170" t="str">
        <f t="shared" si="29"/>
        <v/>
      </c>
      <c r="AC170" t="str">
        <f t="shared" si="30"/>
        <v/>
      </c>
    </row>
    <row r="171" spans="1:29" x14ac:dyDescent="0.35">
      <c r="A171" s="1">
        <v>45594</v>
      </c>
      <c r="B171" s="1">
        <v>45601</v>
      </c>
      <c r="C171">
        <v>249573</v>
      </c>
      <c r="D171" t="s">
        <v>65</v>
      </c>
      <c r="E171" t="s">
        <v>14</v>
      </c>
      <c r="F171" t="s">
        <v>15</v>
      </c>
      <c r="G171" t="s">
        <v>36</v>
      </c>
      <c r="H171" t="s">
        <v>92</v>
      </c>
      <c r="I171" t="s">
        <v>18</v>
      </c>
      <c r="J171" t="s">
        <v>26</v>
      </c>
      <c r="K171" t="s">
        <v>25</v>
      </c>
      <c r="M171" t="s">
        <v>289</v>
      </c>
      <c r="T171">
        <f t="shared" si="31"/>
        <v>1</v>
      </c>
      <c r="U171" t="s">
        <v>328</v>
      </c>
      <c r="V171" s="2" t="str">
        <f t="shared" si="23"/>
        <v>conteste rejet RAPO pour IEF et saisit aussi, DDD explications&amp;&amp;&amp;&amp;&amp;</v>
      </c>
      <c r="W171" t="str">
        <f t="shared" si="24"/>
        <v/>
      </c>
      <c r="X171" t="str">
        <f t="shared" si="25"/>
        <v/>
      </c>
      <c r="Y171" t="str">
        <f t="shared" si="26"/>
        <v/>
      </c>
      <c r="Z171" t="str">
        <f t="shared" si="27"/>
        <v/>
      </c>
      <c r="AA171" t="str">
        <f t="shared" si="28"/>
        <v/>
      </c>
      <c r="AB171" t="str">
        <f t="shared" si="29"/>
        <v/>
      </c>
      <c r="AC171">
        <f t="shared" si="30"/>
        <v>1</v>
      </c>
    </row>
    <row r="172" spans="1:29" x14ac:dyDescent="0.35">
      <c r="A172" s="1">
        <v>45594</v>
      </c>
      <c r="B172" s="1">
        <v>45600</v>
      </c>
      <c r="C172">
        <v>249848</v>
      </c>
      <c r="D172" t="s">
        <v>78</v>
      </c>
      <c r="E172" t="s">
        <v>28</v>
      </c>
      <c r="F172" t="s">
        <v>74</v>
      </c>
      <c r="G172" t="s">
        <v>16</v>
      </c>
      <c r="H172" t="s">
        <v>132</v>
      </c>
      <c r="I172" t="s">
        <v>43</v>
      </c>
      <c r="J172" t="s">
        <v>26</v>
      </c>
      <c r="K172" t="s">
        <v>38</v>
      </c>
      <c r="L172" t="s">
        <v>81</v>
      </c>
      <c r="M172" t="s">
        <v>290</v>
      </c>
      <c r="T172">
        <f t="shared" si="31"/>
        <v>1</v>
      </c>
      <c r="V172" s="2" t="str">
        <f t="shared" si="23"/>
        <v>La mère du jeune ne comprend pas pourquoi les aides humaines ne sont pas mises en œuvre. Après investigation le médiateur se rend compte que les demandes n'ont pas été poursuivies car non demande à la MDPH. La CPE va s'occuper du jeune et de la famille.&amp;&amp;&amp;&amp;&amp;</v>
      </c>
      <c r="W172">
        <f t="shared" si="24"/>
        <v>1</v>
      </c>
      <c r="X172" t="str">
        <f t="shared" si="25"/>
        <v/>
      </c>
      <c r="Y172" t="str">
        <f t="shared" si="26"/>
        <v/>
      </c>
      <c r="Z172" t="str">
        <f t="shared" si="27"/>
        <v/>
      </c>
      <c r="AA172" t="str">
        <f t="shared" si="28"/>
        <v/>
      </c>
      <c r="AB172" t="str">
        <f t="shared" si="29"/>
        <v/>
      </c>
      <c r="AC172" t="str">
        <f t="shared" si="30"/>
        <v/>
      </c>
    </row>
    <row r="173" spans="1:29" x14ac:dyDescent="0.35">
      <c r="A173" s="1">
        <v>45594</v>
      </c>
      <c r="B173" s="1">
        <v>45608</v>
      </c>
      <c r="C173">
        <v>249878</v>
      </c>
      <c r="D173" t="s">
        <v>82</v>
      </c>
      <c r="E173" t="s">
        <v>28</v>
      </c>
      <c r="F173" t="s">
        <v>44</v>
      </c>
      <c r="G173" t="s">
        <v>36</v>
      </c>
      <c r="H173" t="s">
        <v>70</v>
      </c>
      <c r="I173" t="s">
        <v>18</v>
      </c>
      <c r="J173" t="s">
        <v>26</v>
      </c>
      <c r="K173" t="s">
        <v>38</v>
      </c>
      <c r="L173" t="s">
        <v>81</v>
      </c>
      <c r="M173" t="s">
        <v>291</v>
      </c>
      <c r="T173">
        <f t="shared" si="31"/>
        <v>1</v>
      </c>
      <c r="V173" s="2" t="str">
        <f t="shared" si="23"/>
        <v>Inscrite au CNED, ne s'habitue pas à l'enseignement à distance. Veut retourner ds son lycée. Le proviseur refuse, classes à 35 et place de Sabina prise par un arrivant. Le service scolarité sollicité a trouvé une place dans un autre lycée du centre.&amp;&amp;&amp;&amp;&amp;</v>
      </c>
      <c r="W173" t="str">
        <f t="shared" si="24"/>
        <v/>
      </c>
      <c r="X173" t="str">
        <f t="shared" si="25"/>
        <v/>
      </c>
      <c r="Y173" t="str">
        <f t="shared" si="26"/>
        <v/>
      </c>
      <c r="Z173" t="str">
        <f t="shared" si="27"/>
        <v/>
      </c>
      <c r="AA173">
        <f t="shared" si="28"/>
        <v>1</v>
      </c>
      <c r="AB173" t="str">
        <f t="shared" si="29"/>
        <v/>
      </c>
      <c r="AC173" t="str">
        <f t="shared" si="30"/>
        <v/>
      </c>
    </row>
    <row r="174" spans="1:29" x14ac:dyDescent="0.35">
      <c r="A174" s="1">
        <v>45592</v>
      </c>
      <c r="B174" s="1">
        <v>45642</v>
      </c>
      <c r="C174">
        <v>250138</v>
      </c>
      <c r="D174" t="s">
        <v>40</v>
      </c>
      <c r="E174" t="s">
        <v>76</v>
      </c>
      <c r="F174" t="s">
        <v>77</v>
      </c>
      <c r="G174" t="s">
        <v>115</v>
      </c>
      <c r="H174" t="s">
        <v>201</v>
      </c>
      <c r="I174" t="s">
        <v>18</v>
      </c>
      <c r="J174" t="s">
        <v>26</v>
      </c>
      <c r="K174" t="s">
        <v>25</v>
      </c>
      <c r="M174" t="s">
        <v>292</v>
      </c>
      <c r="T174">
        <f t="shared" si="31"/>
        <v>1</v>
      </c>
      <c r="V174" s="2" t="str">
        <f t="shared" si="23"/>
        <v>Enseignant détaché AAE dans le cadre d'un reclassement saisit à nouveau médiation (précédent dossier La Réunion) car l'administration souhaite le détacher en catégorie B. Décision discri DDD en 2021 et instruction close par Media La Réunion en 2023&amp;&amp;&amp;&amp;&amp;</v>
      </c>
      <c r="W174" t="str">
        <f t="shared" si="24"/>
        <v/>
      </c>
      <c r="X174">
        <f t="shared" si="25"/>
        <v>1</v>
      </c>
      <c r="Y174" t="str">
        <f t="shared" si="26"/>
        <v/>
      </c>
      <c r="Z174" t="str">
        <f t="shared" si="27"/>
        <v/>
      </c>
      <c r="AA174" t="str">
        <f t="shared" si="28"/>
        <v/>
      </c>
      <c r="AB174" t="str">
        <f t="shared" si="29"/>
        <v/>
      </c>
      <c r="AC174" t="str">
        <f t="shared" si="30"/>
        <v/>
      </c>
    </row>
    <row r="175" spans="1:29" x14ac:dyDescent="0.35">
      <c r="A175" s="1">
        <v>45590</v>
      </c>
      <c r="B175" s="1">
        <v>45590</v>
      </c>
      <c r="C175">
        <v>249062</v>
      </c>
      <c r="D175" t="s">
        <v>97</v>
      </c>
      <c r="E175" t="s">
        <v>28</v>
      </c>
      <c r="F175" t="s">
        <v>44</v>
      </c>
      <c r="G175" t="s">
        <v>41</v>
      </c>
      <c r="H175" t="s">
        <v>42</v>
      </c>
      <c r="I175" t="s">
        <v>18</v>
      </c>
      <c r="J175" t="s">
        <v>26</v>
      </c>
      <c r="K175" t="s">
        <v>25</v>
      </c>
      <c r="M175" t="s">
        <v>349</v>
      </c>
      <c r="N175" t="s">
        <v>293</v>
      </c>
      <c r="T175">
        <f t="shared" si="31"/>
        <v>1</v>
      </c>
      <c r="V175" s="2" t="str">
        <f t="shared" si="23"/>
        <v>Recours suite à échec au baccalauréat (9,86) &amp; raisons avancées par la famille : victime de harcèlement, troubles DYS&amp;&amp;&amp;&amp;</v>
      </c>
      <c r="W175">
        <f t="shared" si="24"/>
        <v>1</v>
      </c>
      <c r="X175" t="str">
        <f t="shared" si="25"/>
        <v/>
      </c>
      <c r="Y175" t="str">
        <f t="shared" si="26"/>
        <v/>
      </c>
      <c r="Z175" t="str">
        <f t="shared" si="27"/>
        <v/>
      </c>
      <c r="AA175" t="str">
        <f t="shared" si="28"/>
        <v/>
      </c>
      <c r="AB175" t="str">
        <f t="shared" si="29"/>
        <v/>
      </c>
      <c r="AC175" t="str">
        <f t="shared" si="30"/>
        <v/>
      </c>
    </row>
    <row r="176" spans="1:29" x14ac:dyDescent="0.35">
      <c r="A176" s="1">
        <v>45590</v>
      </c>
      <c r="B176" s="1">
        <v>45601</v>
      </c>
      <c r="C176">
        <v>249089</v>
      </c>
      <c r="D176" t="s">
        <v>46</v>
      </c>
      <c r="E176" t="s">
        <v>28</v>
      </c>
      <c r="F176" t="s">
        <v>71</v>
      </c>
      <c r="G176" t="s">
        <v>41</v>
      </c>
      <c r="H176" t="s">
        <v>64</v>
      </c>
      <c r="I176" t="s">
        <v>18</v>
      </c>
      <c r="J176" t="s">
        <v>26</v>
      </c>
      <c r="K176" t="s">
        <v>38</v>
      </c>
      <c r="L176" t="s">
        <v>39</v>
      </c>
      <c r="M176" t="s">
        <v>294</v>
      </c>
      <c r="T176">
        <f t="shared" si="31"/>
        <v>1</v>
      </c>
      <c r="V176" s="2" t="str">
        <f t="shared" si="23"/>
        <v>Demande copie annotée par examinateur. Vu avec responsable DIEC, accord DGESCO, copies d'écran transmise à la famille.&amp;&amp;&amp;&amp;&amp;</v>
      </c>
      <c r="W176">
        <f t="shared" si="24"/>
        <v>1</v>
      </c>
      <c r="X176" t="str">
        <f t="shared" si="25"/>
        <v/>
      </c>
      <c r="Y176" t="str">
        <f t="shared" si="26"/>
        <v/>
      </c>
      <c r="Z176" t="str">
        <f t="shared" si="27"/>
        <v/>
      </c>
      <c r="AA176" t="str">
        <f t="shared" si="28"/>
        <v/>
      </c>
      <c r="AB176" t="str">
        <f t="shared" si="29"/>
        <v/>
      </c>
      <c r="AC176" t="str">
        <f t="shared" si="30"/>
        <v/>
      </c>
    </row>
    <row r="177" spans="1:29" x14ac:dyDescent="0.35">
      <c r="A177" s="1">
        <v>45590</v>
      </c>
      <c r="B177" s="1">
        <v>45631</v>
      </c>
      <c r="C177">
        <v>249124</v>
      </c>
      <c r="D177" t="s">
        <v>93</v>
      </c>
      <c r="E177" t="s">
        <v>28</v>
      </c>
      <c r="F177" t="s">
        <v>74</v>
      </c>
      <c r="G177" t="s">
        <v>23</v>
      </c>
      <c r="H177" t="s">
        <v>56</v>
      </c>
      <c r="I177" t="s">
        <v>18</v>
      </c>
      <c r="J177" t="s">
        <v>26</v>
      </c>
      <c r="K177" t="s">
        <v>38</v>
      </c>
      <c r="L177" t="s">
        <v>39</v>
      </c>
      <c r="M177" t="s">
        <v>295</v>
      </c>
      <c r="T177">
        <f t="shared" si="31"/>
        <v>1</v>
      </c>
      <c r="V177" s="2" t="str">
        <f t="shared" si="23"/>
        <v>Bourse non payée - collège sollicité - issue favorable pour la famille &amp;&amp;&amp;&amp;&amp;</v>
      </c>
      <c r="W177">
        <f t="shared" si="24"/>
        <v>1</v>
      </c>
      <c r="X177" t="str">
        <f t="shared" si="25"/>
        <v/>
      </c>
      <c r="Y177" t="str">
        <f t="shared" si="26"/>
        <v/>
      </c>
      <c r="Z177" t="str">
        <f t="shared" si="27"/>
        <v/>
      </c>
      <c r="AA177" t="str">
        <f t="shared" si="28"/>
        <v/>
      </c>
      <c r="AB177" t="str">
        <f t="shared" si="29"/>
        <v/>
      </c>
      <c r="AC177" t="str">
        <f t="shared" si="30"/>
        <v/>
      </c>
    </row>
    <row r="178" spans="1:29" x14ac:dyDescent="0.35">
      <c r="A178" s="1">
        <v>45590</v>
      </c>
      <c r="B178" s="1">
        <v>45616</v>
      </c>
      <c r="C178">
        <v>249126</v>
      </c>
      <c r="D178" t="s">
        <v>93</v>
      </c>
      <c r="E178" t="s">
        <v>28</v>
      </c>
      <c r="F178" t="s">
        <v>47</v>
      </c>
      <c r="G178" t="s">
        <v>36</v>
      </c>
      <c r="H178" t="s">
        <v>94</v>
      </c>
      <c r="I178" t="s">
        <v>18</v>
      </c>
      <c r="J178" t="s">
        <v>26</v>
      </c>
      <c r="K178" t="s">
        <v>122</v>
      </c>
      <c r="M178" t="s">
        <v>296</v>
      </c>
      <c r="T178">
        <f t="shared" si="31"/>
        <v>1</v>
      </c>
      <c r="V178" s="2" t="str">
        <f t="shared" si="23"/>
        <v>Pas d'affectation en lycée professionnel- courrier renvoyé tardivement - demande de précision à la famille dont téléphone&amp;&amp;&amp;&amp;&amp;</v>
      </c>
      <c r="W178">
        <f t="shared" si="24"/>
        <v>1</v>
      </c>
      <c r="X178" t="str">
        <f t="shared" si="25"/>
        <v/>
      </c>
      <c r="Y178" t="str">
        <f t="shared" si="26"/>
        <v/>
      </c>
      <c r="Z178" t="str">
        <f t="shared" si="27"/>
        <v/>
      </c>
      <c r="AA178" t="str">
        <f t="shared" si="28"/>
        <v/>
      </c>
      <c r="AB178" t="str">
        <f t="shared" si="29"/>
        <v/>
      </c>
      <c r="AC178" t="str">
        <f t="shared" si="30"/>
        <v/>
      </c>
    </row>
    <row r="179" spans="1:29" x14ac:dyDescent="0.35">
      <c r="A179" s="1">
        <v>45590</v>
      </c>
      <c r="B179" s="1">
        <v>45611</v>
      </c>
      <c r="C179">
        <v>249127</v>
      </c>
      <c r="D179" t="s">
        <v>93</v>
      </c>
      <c r="E179" t="s">
        <v>28</v>
      </c>
      <c r="F179" t="s">
        <v>117</v>
      </c>
      <c r="G179" t="s">
        <v>36</v>
      </c>
      <c r="H179" t="s">
        <v>94</v>
      </c>
      <c r="I179" t="s">
        <v>18</v>
      </c>
      <c r="J179" t="s">
        <v>26</v>
      </c>
      <c r="K179" t="s">
        <v>57</v>
      </c>
      <c r="M179" t="s">
        <v>297</v>
      </c>
      <c r="T179">
        <f t="shared" si="31"/>
        <v>1</v>
      </c>
      <c r="V179" s="2" t="str">
        <f t="shared" si="23"/>
        <v>Pas d'affectation en lycée professionnel pour élève mineur - transfert tardif du courrier - demande de précisions à la famille- élève affecté&amp;&amp;&amp;&amp;&amp;</v>
      </c>
      <c r="W179">
        <f t="shared" si="24"/>
        <v>1</v>
      </c>
      <c r="X179" t="str">
        <f t="shared" si="25"/>
        <v/>
      </c>
      <c r="Y179" t="str">
        <f t="shared" si="26"/>
        <v/>
      </c>
      <c r="Z179" t="str">
        <f t="shared" si="27"/>
        <v/>
      </c>
      <c r="AA179" t="str">
        <f t="shared" si="28"/>
        <v/>
      </c>
      <c r="AB179" t="str">
        <f t="shared" si="29"/>
        <v/>
      </c>
      <c r="AC179" t="str">
        <f t="shared" si="30"/>
        <v/>
      </c>
    </row>
    <row r="180" spans="1:29" x14ac:dyDescent="0.35">
      <c r="A180" s="1">
        <v>45590</v>
      </c>
      <c r="B180" s="1">
        <v>45604</v>
      </c>
      <c r="C180">
        <v>249147</v>
      </c>
      <c r="D180" t="s">
        <v>27</v>
      </c>
      <c r="E180" t="s">
        <v>14</v>
      </c>
      <c r="F180" t="s">
        <v>15</v>
      </c>
      <c r="G180" t="s">
        <v>16</v>
      </c>
      <c r="H180" t="s">
        <v>69</v>
      </c>
      <c r="I180" t="s">
        <v>18</v>
      </c>
      <c r="J180" t="s">
        <v>26</v>
      </c>
      <c r="K180" t="s">
        <v>38</v>
      </c>
      <c r="L180" t="s">
        <v>81</v>
      </c>
      <c r="M180" t="s">
        <v>298</v>
      </c>
      <c r="T180">
        <f t="shared" si="31"/>
        <v>1</v>
      </c>
      <c r="V180" s="2" t="str">
        <f t="shared" si="23"/>
        <v>Demande un certificat de scolarité pour l'année 2023-2024 de sa soeur. Document à remettre au juge. Mais absence de réponse de l'école. IEN sollicité. Réponse: les éléments ont été adressés à la famille après vérifications d'usage&amp;&amp;&amp;&amp;&amp;</v>
      </c>
      <c r="W180">
        <f t="shared" si="24"/>
        <v>1</v>
      </c>
      <c r="X180" t="str">
        <f t="shared" si="25"/>
        <v/>
      </c>
      <c r="Y180" t="str">
        <f t="shared" si="26"/>
        <v/>
      </c>
      <c r="Z180" t="str">
        <f t="shared" si="27"/>
        <v/>
      </c>
      <c r="AA180" t="str">
        <f t="shared" si="28"/>
        <v/>
      </c>
      <c r="AB180" t="str">
        <f t="shared" si="29"/>
        <v/>
      </c>
      <c r="AC180" t="str">
        <f t="shared" si="30"/>
        <v/>
      </c>
    </row>
    <row r="181" spans="1:29" x14ac:dyDescent="0.35">
      <c r="A181" s="1">
        <v>45590</v>
      </c>
      <c r="B181" s="1">
        <v>45591</v>
      </c>
      <c r="C181">
        <v>249148</v>
      </c>
      <c r="D181" t="s">
        <v>27</v>
      </c>
      <c r="E181" t="s">
        <v>32</v>
      </c>
      <c r="F181" t="s">
        <v>107</v>
      </c>
      <c r="G181" t="s">
        <v>16</v>
      </c>
      <c r="H181" t="s">
        <v>69</v>
      </c>
      <c r="I181" t="s">
        <v>18</v>
      </c>
      <c r="J181" t="s">
        <v>60</v>
      </c>
      <c r="M181" t="s">
        <v>299</v>
      </c>
      <c r="T181">
        <f t="shared" si="31"/>
        <v>1</v>
      </c>
      <c r="V181" s="2" t="str">
        <f t="shared" si="23"/>
        <v>Etudiante dans un organisme de formation privé conteste les appels de la directrice à son domicile en dépit de son état de santé fragile. Hors champ de compétence&amp;&amp;&amp;&amp;&amp;</v>
      </c>
      <c r="W181" t="str">
        <f t="shared" si="24"/>
        <v/>
      </c>
      <c r="X181" t="str">
        <f t="shared" si="25"/>
        <v/>
      </c>
      <c r="Y181">
        <f t="shared" si="26"/>
        <v>1</v>
      </c>
      <c r="Z181" t="str">
        <f t="shared" si="27"/>
        <v/>
      </c>
      <c r="AA181" t="str">
        <f t="shared" si="28"/>
        <v/>
      </c>
      <c r="AB181" t="str">
        <f t="shared" si="29"/>
        <v/>
      </c>
      <c r="AC181" t="str">
        <f t="shared" si="30"/>
        <v/>
      </c>
    </row>
    <row r="182" spans="1:29" x14ac:dyDescent="0.35">
      <c r="A182" s="1">
        <v>45590</v>
      </c>
      <c r="B182" s="1">
        <v>45609</v>
      </c>
      <c r="C182">
        <v>249335</v>
      </c>
      <c r="D182" t="s">
        <v>93</v>
      </c>
      <c r="E182" t="s">
        <v>28</v>
      </c>
      <c r="F182" t="s">
        <v>29</v>
      </c>
      <c r="G182" t="s">
        <v>16</v>
      </c>
      <c r="H182" t="s">
        <v>34</v>
      </c>
      <c r="I182" t="s">
        <v>129</v>
      </c>
      <c r="J182" t="s">
        <v>26</v>
      </c>
      <c r="K182" t="s">
        <v>38</v>
      </c>
      <c r="L182" t="s">
        <v>81</v>
      </c>
      <c r="M182" t="s">
        <v>300</v>
      </c>
      <c r="T182">
        <f t="shared" si="31"/>
        <v>1</v>
      </c>
      <c r="V182" s="2" t="str">
        <f t="shared" si="23"/>
        <v xml:space="preserve"> pas de respect du PPS selon la famille&amp;&amp;&amp;&amp;&amp;</v>
      </c>
      <c r="W182">
        <f t="shared" si="24"/>
        <v>1</v>
      </c>
      <c r="X182" t="str">
        <f t="shared" si="25"/>
        <v/>
      </c>
      <c r="Y182" t="str">
        <f t="shared" si="26"/>
        <v/>
      </c>
      <c r="Z182" t="str">
        <f t="shared" si="27"/>
        <v/>
      </c>
      <c r="AA182" t="str">
        <f t="shared" si="28"/>
        <v/>
      </c>
      <c r="AB182" t="str">
        <f t="shared" si="29"/>
        <v/>
      </c>
      <c r="AC182" t="str">
        <f t="shared" si="30"/>
        <v/>
      </c>
    </row>
    <row r="183" spans="1:29" x14ac:dyDescent="0.35">
      <c r="A183" s="1">
        <v>45590</v>
      </c>
      <c r="B183" s="1">
        <v>45609</v>
      </c>
      <c r="C183">
        <v>250577</v>
      </c>
      <c r="D183" t="s">
        <v>20</v>
      </c>
      <c r="E183" t="s">
        <v>14</v>
      </c>
      <c r="F183" t="s">
        <v>90</v>
      </c>
      <c r="G183" t="s">
        <v>16</v>
      </c>
      <c r="H183" t="s">
        <v>79</v>
      </c>
      <c r="I183" t="s">
        <v>61</v>
      </c>
      <c r="J183" t="s">
        <v>26</v>
      </c>
      <c r="K183" t="s">
        <v>57</v>
      </c>
      <c r="M183" t="s">
        <v>301</v>
      </c>
      <c r="T183">
        <f t="shared" si="31"/>
        <v>1</v>
      </c>
      <c r="V183" s="2" t="str">
        <f t="shared" si="23"/>
        <v>Père dénonce situation de harcèlement . IEN précise mesures prises pour apaiser la situation dont mobilisation équipe pHARe de circonscription.  suite à demande de la famille un changement d'école  a été proposé. .&amp;&amp;&amp;&amp;&amp;</v>
      </c>
      <c r="W183">
        <f t="shared" si="24"/>
        <v>1</v>
      </c>
      <c r="X183" t="str">
        <f t="shared" si="25"/>
        <v/>
      </c>
      <c r="Y183" t="str">
        <f t="shared" si="26"/>
        <v/>
      </c>
      <c r="Z183" t="str">
        <f t="shared" si="27"/>
        <v/>
      </c>
      <c r="AA183" t="str">
        <f t="shared" si="28"/>
        <v/>
      </c>
      <c r="AB183" t="str">
        <f t="shared" si="29"/>
        <v/>
      </c>
      <c r="AC183" t="str">
        <f t="shared" si="30"/>
        <v/>
      </c>
    </row>
    <row r="184" spans="1:29" x14ac:dyDescent="0.35">
      <c r="A184" s="1">
        <v>45589</v>
      </c>
      <c r="B184" s="1">
        <v>45600</v>
      </c>
      <c r="C184">
        <v>248993</v>
      </c>
      <c r="D184" t="s">
        <v>119</v>
      </c>
      <c r="E184" t="s">
        <v>14</v>
      </c>
      <c r="F184" t="s">
        <v>15</v>
      </c>
      <c r="G184" t="s">
        <v>16</v>
      </c>
      <c r="H184" t="s">
        <v>17</v>
      </c>
      <c r="I184" t="s">
        <v>18</v>
      </c>
      <c r="J184" t="s">
        <v>26</v>
      </c>
      <c r="K184" t="s">
        <v>25</v>
      </c>
      <c r="M184" t="s">
        <v>302</v>
      </c>
      <c r="T184">
        <f t="shared" si="31"/>
        <v>1</v>
      </c>
      <c r="U184" t="s">
        <v>328</v>
      </c>
      <c r="V184" s="2" t="str">
        <f t="shared" si="23"/>
        <v>CDU Griefs contre maître qui l'a bousculé le faisant tomber sur coccyx. Parents entendus par Directrice et la psychologue, équipe éducative. Enseignant retiré de l'établissement&amp;&amp;&amp;&amp;&amp;</v>
      </c>
      <c r="W184" t="str">
        <f t="shared" si="24"/>
        <v/>
      </c>
      <c r="X184" t="str">
        <f t="shared" si="25"/>
        <v/>
      </c>
      <c r="Y184" t="str">
        <f t="shared" si="26"/>
        <v/>
      </c>
      <c r="Z184" t="str">
        <f t="shared" si="27"/>
        <v/>
      </c>
      <c r="AA184" t="str">
        <f t="shared" si="28"/>
        <v/>
      </c>
      <c r="AB184" t="str">
        <f t="shared" si="29"/>
        <v/>
      </c>
      <c r="AC184">
        <f t="shared" si="30"/>
        <v>1</v>
      </c>
    </row>
    <row r="185" spans="1:29" x14ac:dyDescent="0.35">
      <c r="A185" s="1">
        <v>45589</v>
      </c>
      <c r="B185" s="1">
        <v>45636</v>
      </c>
      <c r="C185">
        <v>249313</v>
      </c>
      <c r="D185" t="s">
        <v>119</v>
      </c>
      <c r="E185" t="s">
        <v>14</v>
      </c>
      <c r="F185" t="s">
        <v>15</v>
      </c>
      <c r="G185" t="s">
        <v>16</v>
      </c>
      <c r="H185" t="s">
        <v>116</v>
      </c>
      <c r="I185" t="s">
        <v>75</v>
      </c>
      <c r="J185" t="s">
        <v>26</v>
      </c>
      <c r="K185" t="s">
        <v>38</v>
      </c>
      <c r="L185" t="s">
        <v>112</v>
      </c>
      <c r="M185" t="s">
        <v>303</v>
      </c>
      <c r="T185">
        <f t="shared" si="31"/>
        <v>1</v>
      </c>
      <c r="V185" s="2" t="str">
        <f t="shared" si="23"/>
        <v>Refus du mère d'accueillir à la cantine les enfants qui bénéficient d'un PAI prévoyant la fourniture du repas par la famille.&amp;&amp;&amp;&amp;&amp;</v>
      </c>
      <c r="W185">
        <f t="shared" si="24"/>
        <v>1</v>
      </c>
      <c r="X185" t="str">
        <f t="shared" si="25"/>
        <v/>
      </c>
      <c r="Y185" t="str">
        <f t="shared" si="26"/>
        <v/>
      </c>
      <c r="Z185" t="str">
        <f t="shared" si="27"/>
        <v/>
      </c>
      <c r="AA185" t="str">
        <f t="shared" si="28"/>
        <v/>
      </c>
      <c r="AB185" t="str">
        <f t="shared" si="29"/>
        <v/>
      </c>
      <c r="AC185" t="str">
        <f t="shared" si="30"/>
        <v/>
      </c>
    </row>
    <row r="186" spans="1:29" x14ac:dyDescent="0.35">
      <c r="A186" s="1">
        <v>45589</v>
      </c>
      <c r="B186" s="1">
        <v>45608</v>
      </c>
      <c r="C186">
        <v>252127</v>
      </c>
      <c r="D186" t="s">
        <v>78</v>
      </c>
      <c r="E186" t="s">
        <v>28</v>
      </c>
      <c r="F186" t="s">
        <v>71</v>
      </c>
      <c r="G186" t="s">
        <v>36</v>
      </c>
      <c r="H186" t="s">
        <v>37</v>
      </c>
      <c r="I186" t="s">
        <v>18</v>
      </c>
      <c r="J186" t="s">
        <v>26</v>
      </c>
      <c r="K186" t="s">
        <v>38</v>
      </c>
      <c r="L186" t="s">
        <v>81</v>
      </c>
      <c r="M186" t="s">
        <v>304</v>
      </c>
      <c r="T186">
        <f t="shared" si="31"/>
        <v>1</v>
      </c>
      <c r="U186" t="s">
        <v>328</v>
      </c>
      <c r="V186" s="2" t="str">
        <f t="shared" si="23"/>
        <v>1ère STI2D. Redouble. Phobie scol. Demande CNED mais 1èreG refusée CC. 30/10 réponse conseils voir avec CIO et recours DSDEN. 12/11 réponse DSDEN : pas possible 1GT (refus CC) et possible IEF ailleurs que CNED. 12/11 réponse famille&amp;&amp;&amp;&amp;&amp;</v>
      </c>
      <c r="W186">
        <f t="shared" si="24"/>
        <v>1</v>
      </c>
      <c r="X186" t="str">
        <f t="shared" si="25"/>
        <v/>
      </c>
      <c r="Y186" t="str">
        <f t="shared" si="26"/>
        <v/>
      </c>
      <c r="Z186" t="str">
        <f t="shared" si="27"/>
        <v/>
      </c>
      <c r="AA186" t="str">
        <f t="shared" si="28"/>
        <v/>
      </c>
      <c r="AB186" t="str">
        <f t="shared" si="29"/>
        <v/>
      </c>
      <c r="AC186">
        <f t="shared" si="30"/>
        <v>1</v>
      </c>
    </row>
    <row r="187" spans="1:29" x14ac:dyDescent="0.35">
      <c r="A187" s="1">
        <v>45588</v>
      </c>
      <c r="B187" s="1">
        <v>45600</v>
      </c>
      <c r="C187">
        <v>248955</v>
      </c>
      <c r="D187" t="s">
        <v>93</v>
      </c>
      <c r="E187" t="s">
        <v>28</v>
      </c>
      <c r="F187" t="s">
        <v>29</v>
      </c>
      <c r="G187" t="s">
        <v>16</v>
      </c>
      <c r="H187" t="s">
        <v>89</v>
      </c>
      <c r="I187" t="s">
        <v>75</v>
      </c>
      <c r="J187" t="s">
        <v>26</v>
      </c>
      <c r="K187" t="s">
        <v>25</v>
      </c>
      <c r="M187" t="s">
        <v>305</v>
      </c>
      <c r="T187">
        <f t="shared" si="31"/>
        <v>1</v>
      </c>
      <c r="V187" s="2" t="str">
        <f t="shared" si="23"/>
        <v>conteste le CD : explications données sur le déroulement de l'instance une première fois puis  de nouveau  à la rentrée des congés car la famille est anxieuse quant au déroulement de l'instance&amp;&amp;&amp;&amp;&amp;</v>
      </c>
      <c r="W187">
        <f t="shared" si="24"/>
        <v>1</v>
      </c>
      <c r="X187" t="str">
        <f t="shared" si="25"/>
        <v/>
      </c>
      <c r="Y187" t="str">
        <f t="shared" si="26"/>
        <v/>
      </c>
      <c r="Z187" t="str">
        <f t="shared" si="27"/>
        <v/>
      </c>
      <c r="AA187" t="str">
        <f t="shared" si="28"/>
        <v/>
      </c>
      <c r="AB187" t="str">
        <f t="shared" si="29"/>
        <v/>
      </c>
      <c r="AC187" t="str">
        <f t="shared" si="30"/>
        <v/>
      </c>
    </row>
    <row r="188" spans="1:29" x14ac:dyDescent="0.35">
      <c r="A188" s="1">
        <v>45588</v>
      </c>
      <c r="B188" s="1">
        <v>45621</v>
      </c>
      <c r="C188">
        <v>248988</v>
      </c>
      <c r="D188" t="s">
        <v>98</v>
      </c>
      <c r="E188" t="s">
        <v>14</v>
      </c>
      <c r="F188" t="s">
        <v>15</v>
      </c>
      <c r="G188" t="s">
        <v>16</v>
      </c>
      <c r="H188" t="s">
        <v>17</v>
      </c>
      <c r="I188" t="s">
        <v>18</v>
      </c>
      <c r="J188" t="s">
        <v>26</v>
      </c>
      <c r="K188" t="s">
        <v>38</v>
      </c>
      <c r="L188" t="s">
        <v>39</v>
      </c>
      <c r="M188" t="s">
        <v>306</v>
      </c>
      <c r="T188">
        <f t="shared" si="31"/>
        <v>1</v>
      </c>
      <c r="V188" s="2" t="str">
        <f t="shared" si="23"/>
        <v>Prise de positions de l'IEN de CIRCO qui a changé sur le changement d'établissement d'un enfant. AR le 24 oct Médiation et doyen des IEN destinataires. Transfère aux doyens pour instruction Infos requérant revenir vers nous après réponse TA saisi&amp;&amp;&amp;&amp;&amp;</v>
      </c>
      <c r="W188" t="str">
        <f t="shared" si="24"/>
        <v/>
      </c>
      <c r="X188">
        <f t="shared" si="25"/>
        <v>1</v>
      </c>
      <c r="Y188" t="str">
        <f t="shared" si="26"/>
        <v/>
      </c>
      <c r="Z188" t="str">
        <f t="shared" si="27"/>
        <v/>
      </c>
      <c r="AA188" t="str">
        <f t="shared" si="28"/>
        <v/>
      </c>
      <c r="AB188" t="str">
        <f t="shared" si="29"/>
        <v/>
      </c>
      <c r="AC188" t="str">
        <f t="shared" si="30"/>
        <v/>
      </c>
    </row>
    <row r="189" spans="1:29" x14ac:dyDescent="0.35">
      <c r="A189" s="1">
        <v>45588</v>
      </c>
      <c r="B189" s="1">
        <v>45610</v>
      </c>
      <c r="C189">
        <v>249238</v>
      </c>
      <c r="D189" t="s">
        <v>133</v>
      </c>
      <c r="E189" t="s">
        <v>28</v>
      </c>
      <c r="F189" t="s">
        <v>29</v>
      </c>
      <c r="G189" t="s">
        <v>36</v>
      </c>
      <c r="H189" t="s">
        <v>67</v>
      </c>
      <c r="I189" t="s">
        <v>18</v>
      </c>
      <c r="J189" t="s">
        <v>19</v>
      </c>
      <c r="M189" t="s">
        <v>307</v>
      </c>
      <c r="T189">
        <f t="shared" si="31"/>
        <v>1</v>
      </c>
      <c r="V189" s="2" t="str">
        <f t="shared" si="23"/>
        <v>Famille en provenance de St-Pierre et Miquelon.Demande aide pour l'inscription des enfants dans la nouvelle académie. MED oriente vers services compétents du rectorat puis vers MED en charge de St-Pierre et Miquelon pour un des enfants.&amp;&amp;&amp;&amp;&amp;</v>
      </c>
      <c r="W189">
        <f t="shared" si="24"/>
        <v>1</v>
      </c>
      <c r="X189" t="str">
        <f t="shared" si="25"/>
        <v/>
      </c>
      <c r="Y189" t="str">
        <f t="shared" si="26"/>
        <v/>
      </c>
      <c r="Z189" t="str">
        <f t="shared" si="27"/>
        <v/>
      </c>
      <c r="AA189" t="str">
        <f t="shared" si="28"/>
        <v/>
      </c>
      <c r="AB189" t="str">
        <f t="shared" si="29"/>
        <v/>
      </c>
      <c r="AC189" t="str">
        <f t="shared" si="30"/>
        <v/>
      </c>
    </row>
    <row r="190" spans="1:29" x14ac:dyDescent="0.35">
      <c r="A190" s="1">
        <v>45588</v>
      </c>
      <c r="B190" s="1">
        <v>45642</v>
      </c>
      <c r="C190">
        <v>250061</v>
      </c>
      <c r="D190" t="s">
        <v>119</v>
      </c>
      <c r="E190" t="s">
        <v>28</v>
      </c>
      <c r="F190" t="s">
        <v>66</v>
      </c>
      <c r="G190" t="s">
        <v>23</v>
      </c>
      <c r="H190" t="s">
        <v>87</v>
      </c>
      <c r="I190" t="s">
        <v>51</v>
      </c>
      <c r="J190" t="s">
        <v>26</v>
      </c>
      <c r="K190" t="s">
        <v>38</v>
      </c>
      <c r="L190" t="s">
        <v>39</v>
      </c>
      <c r="M190" t="s">
        <v>350</v>
      </c>
      <c r="T190">
        <f t="shared" si="31"/>
        <v>1</v>
      </c>
      <c r="V190" s="2" t="str">
        <f t="shared" si="23"/>
        <v>Aurait besoin bourse scolaire car soutien famille recomposée avec maman UKRAINE&amp;&amp;&amp;&amp;&amp;</v>
      </c>
      <c r="W190">
        <f t="shared" si="24"/>
        <v>1</v>
      </c>
      <c r="X190" t="str">
        <f t="shared" si="25"/>
        <v/>
      </c>
      <c r="Y190" t="str">
        <f t="shared" si="26"/>
        <v/>
      </c>
      <c r="Z190" t="str">
        <f t="shared" si="27"/>
        <v/>
      </c>
      <c r="AA190" t="str">
        <f t="shared" si="28"/>
        <v/>
      </c>
      <c r="AB190" t="str">
        <f t="shared" si="29"/>
        <v/>
      </c>
      <c r="AC190" t="str">
        <f t="shared" si="30"/>
        <v/>
      </c>
    </row>
    <row r="191" spans="1:29" x14ac:dyDescent="0.35">
      <c r="A191" s="1">
        <v>45587</v>
      </c>
      <c r="B191" s="1">
        <v>45637</v>
      </c>
      <c r="C191">
        <v>248916</v>
      </c>
      <c r="D191" t="s">
        <v>109</v>
      </c>
      <c r="E191" t="s">
        <v>14</v>
      </c>
      <c r="F191" t="s">
        <v>90</v>
      </c>
      <c r="G191" t="s">
        <v>16</v>
      </c>
      <c r="H191" s="3" t="s">
        <v>182</v>
      </c>
      <c r="I191" t="s">
        <v>18</v>
      </c>
      <c r="J191" t="s">
        <v>26</v>
      </c>
      <c r="K191" t="s">
        <v>38</v>
      </c>
      <c r="L191" t="s">
        <v>108</v>
      </c>
      <c r="M191" t="s">
        <v>308</v>
      </c>
      <c r="T191">
        <f t="shared" si="31"/>
        <v>1</v>
      </c>
      <c r="U191" t="s">
        <v>328</v>
      </c>
      <c r="V191" s="2" t="str">
        <f t="shared" si="23"/>
        <v>Recours suite à refus IEF Entretien de médiation Recours rejeté&amp;&amp;&amp;&amp;&amp;</v>
      </c>
      <c r="W191" t="str">
        <f t="shared" si="24"/>
        <v/>
      </c>
      <c r="X191" t="str">
        <f t="shared" si="25"/>
        <v/>
      </c>
      <c r="Y191" t="str">
        <f t="shared" si="26"/>
        <v/>
      </c>
      <c r="Z191" t="str">
        <f t="shared" si="27"/>
        <v/>
      </c>
      <c r="AA191" t="str">
        <f t="shared" si="28"/>
        <v/>
      </c>
      <c r="AB191" t="str">
        <f t="shared" si="29"/>
        <v/>
      </c>
      <c r="AC191">
        <f t="shared" si="30"/>
        <v>1</v>
      </c>
    </row>
    <row r="192" spans="1:29" x14ac:dyDescent="0.35">
      <c r="A192" s="1">
        <v>45587</v>
      </c>
      <c r="B192" s="1">
        <v>45609</v>
      </c>
      <c r="C192">
        <v>248919</v>
      </c>
      <c r="D192" t="s">
        <v>109</v>
      </c>
      <c r="E192" t="s">
        <v>14</v>
      </c>
      <c r="F192" t="s">
        <v>15</v>
      </c>
      <c r="G192" t="s">
        <v>16</v>
      </c>
      <c r="H192" s="3" t="s">
        <v>182</v>
      </c>
      <c r="I192" t="s">
        <v>43</v>
      </c>
      <c r="J192" t="s">
        <v>26</v>
      </c>
      <c r="K192" t="s">
        <v>25</v>
      </c>
      <c r="M192" t="s">
        <v>351</v>
      </c>
      <c r="T192">
        <f t="shared" si="31"/>
        <v>1</v>
      </c>
      <c r="U192" t="s">
        <v>328</v>
      </c>
      <c r="V192" s="2" t="str">
        <f t="shared" si="23"/>
        <v>Recours suite à refus d'IEF Procédure en cours auprès du Procureur de xx donc refus de médiation de la part du recteur tant que la procédure est en cours&amp;&amp;&amp;&amp;&amp;</v>
      </c>
      <c r="W192" t="str">
        <f t="shared" si="24"/>
        <v/>
      </c>
      <c r="X192" t="str">
        <f t="shared" si="25"/>
        <v/>
      </c>
      <c r="Y192" t="str">
        <f t="shared" si="26"/>
        <v/>
      </c>
      <c r="Z192" t="str">
        <f t="shared" si="27"/>
        <v/>
      </c>
      <c r="AA192" t="str">
        <f t="shared" si="28"/>
        <v/>
      </c>
      <c r="AB192" t="str">
        <f t="shared" si="29"/>
        <v/>
      </c>
      <c r="AC192">
        <f t="shared" si="30"/>
        <v>1</v>
      </c>
    </row>
    <row r="193" spans="1:29" x14ac:dyDescent="0.35">
      <c r="A193" s="1">
        <v>45587</v>
      </c>
      <c r="B193" s="1">
        <v>45628</v>
      </c>
      <c r="C193">
        <v>248922</v>
      </c>
      <c r="D193" t="s">
        <v>109</v>
      </c>
      <c r="E193" t="s">
        <v>14</v>
      </c>
      <c r="F193" t="s">
        <v>90</v>
      </c>
      <c r="G193" t="s">
        <v>16</v>
      </c>
      <c r="H193" s="3" t="s">
        <v>182</v>
      </c>
      <c r="I193" t="s">
        <v>18</v>
      </c>
      <c r="J193" t="s">
        <v>26</v>
      </c>
      <c r="K193" t="s">
        <v>38</v>
      </c>
      <c r="L193" t="s">
        <v>81</v>
      </c>
      <c r="M193" t="s">
        <v>309</v>
      </c>
      <c r="T193">
        <f t="shared" ref="T193:T200" si="32">IF(SUM(W193:AC193)&gt;0,1,"")</f>
        <v>1</v>
      </c>
      <c r="U193" t="s">
        <v>328</v>
      </c>
      <c r="V193" s="2" t="str">
        <f t="shared" si="23"/>
        <v>Recours suite à refus d'IEF Entretien de médiation organisé Recours rejeté&amp;&amp;&amp;&amp;&amp;</v>
      </c>
      <c r="W193" t="str">
        <f t="shared" si="24"/>
        <v/>
      </c>
      <c r="X193" t="str">
        <f t="shared" si="25"/>
        <v/>
      </c>
      <c r="Y193" t="str">
        <f t="shared" si="26"/>
        <v/>
      </c>
      <c r="Z193" t="str">
        <f t="shared" si="27"/>
        <v/>
      </c>
      <c r="AA193" t="str">
        <f t="shared" si="28"/>
        <v/>
      </c>
      <c r="AB193" t="str">
        <f t="shared" si="29"/>
        <v/>
      </c>
      <c r="AC193">
        <f t="shared" si="30"/>
        <v>1</v>
      </c>
    </row>
    <row r="194" spans="1:29" x14ac:dyDescent="0.35">
      <c r="A194" s="1">
        <v>45587</v>
      </c>
      <c r="B194" s="1">
        <v>45645</v>
      </c>
      <c r="C194">
        <v>248923</v>
      </c>
      <c r="D194" t="s">
        <v>109</v>
      </c>
      <c r="E194" t="s">
        <v>14</v>
      </c>
      <c r="F194" t="s">
        <v>15</v>
      </c>
      <c r="G194" t="s">
        <v>16</v>
      </c>
      <c r="H194" s="3" t="s">
        <v>182</v>
      </c>
      <c r="I194" t="s">
        <v>43</v>
      </c>
      <c r="J194" t="s">
        <v>26</v>
      </c>
      <c r="K194" t="s">
        <v>38</v>
      </c>
      <c r="L194" t="s">
        <v>81</v>
      </c>
      <c r="M194" t="s">
        <v>310</v>
      </c>
      <c r="T194">
        <f t="shared" si="32"/>
        <v>1</v>
      </c>
      <c r="U194" t="s">
        <v>328</v>
      </c>
      <c r="V194" s="2" t="str">
        <f t="shared" ref="V194:V200" si="33">M194&amp;"&amp;"&amp;N194&amp;"&amp;"&amp;O194&amp;"&amp;"&amp;P194&amp;"&amp;"&amp;Q194&amp;"&amp;"&amp;R194</f>
        <v>Recours suite à refus d'IEF pour deux enfants Entretien de médiation organisé Refus maintenu&amp;&amp;&amp;&amp;&amp;</v>
      </c>
      <c r="W194" t="str">
        <f t="shared" ref="W194:W200" si="34">IF(ISNUMBER(SEARCH($W$1,$V194)),1,"")</f>
        <v/>
      </c>
      <c r="X194" t="str">
        <f t="shared" ref="X194:X200" si="35">IF(ISNUMBER(SEARCH($X$1,$V194)),1,"")</f>
        <v/>
      </c>
      <c r="Y194" t="str">
        <f t="shared" ref="Y194:Y200" si="36">IF(ISNUMBER(SEARCH($Y$1,$V194)),1,"")</f>
        <v/>
      </c>
      <c r="Z194" t="str">
        <f t="shared" ref="Z194:Z200" si="37">IF(ISNUMBER(SEARCH($Z$1,$V194)),1,"")</f>
        <v/>
      </c>
      <c r="AA194" t="str">
        <f t="shared" ref="AA194:AA200" si="38">IF(ISNUMBER(SEARCH($AA$1,$V194)),1,"")</f>
        <v/>
      </c>
      <c r="AB194" t="str">
        <f t="shared" ref="AB194:AB200" si="39">IF(ISNUMBER(SEARCH($AB$1,$V194)),1,"")</f>
        <v/>
      </c>
      <c r="AC194">
        <f t="shared" ref="AC194:AC200" si="40">IF(ISNUMBER(SEARCH($AC$1,$V194)),1,"")</f>
        <v>1</v>
      </c>
    </row>
    <row r="195" spans="1:29" x14ac:dyDescent="0.35">
      <c r="A195" s="1">
        <v>45587</v>
      </c>
      <c r="B195" s="1">
        <v>45637</v>
      </c>
      <c r="C195">
        <v>248924</v>
      </c>
      <c r="D195" t="s">
        <v>109</v>
      </c>
      <c r="E195" t="s">
        <v>14</v>
      </c>
      <c r="F195" t="s">
        <v>15</v>
      </c>
      <c r="G195" t="s">
        <v>16</v>
      </c>
      <c r="H195" s="3" t="s">
        <v>182</v>
      </c>
      <c r="I195" t="s">
        <v>18</v>
      </c>
      <c r="J195" t="s">
        <v>26</v>
      </c>
      <c r="K195" t="s">
        <v>38</v>
      </c>
      <c r="L195" t="s">
        <v>108</v>
      </c>
      <c r="M195" t="s">
        <v>311</v>
      </c>
      <c r="T195">
        <f t="shared" si="32"/>
        <v>1</v>
      </c>
      <c r="U195" t="s">
        <v>328</v>
      </c>
      <c r="V195" s="2" t="str">
        <f t="shared" si="33"/>
        <v>Recours suite à refus d'IEF Entretien de médiation Recours rejeté&amp;&amp;&amp;&amp;&amp;</v>
      </c>
      <c r="W195" t="str">
        <f t="shared" si="34"/>
        <v/>
      </c>
      <c r="X195" t="str">
        <f t="shared" si="35"/>
        <v/>
      </c>
      <c r="Y195" t="str">
        <f t="shared" si="36"/>
        <v/>
      </c>
      <c r="Z195" t="str">
        <f t="shared" si="37"/>
        <v/>
      </c>
      <c r="AA195" t="str">
        <f t="shared" si="38"/>
        <v/>
      </c>
      <c r="AB195" t="str">
        <f t="shared" si="39"/>
        <v/>
      </c>
      <c r="AC195">
        <f t="shared" si="40"/>
        <v>1</v>
      </c>
    </row>
    <row r="196" spans="1:29" x14ac:dyDescent="0.35">
      <c r="A196" s="1">
        <v>45587</v>
      </c>
      <c r="B196" s="1">
        <v>45600</v>
      </c>
      <c r="C196">
        <v>249665</v>
      </c>
      <c r="D196" t="s">
        <v>63</v>
      </c>
      <c r="E196" t="s">
        <v>28</v>
      </c>
      <c r="F196" t="s">
        <v>66</v>
      </c>
      <c r="G196" t="s">
        <v>16</v>
      </c>
      <c r="H196" t="s">
        <v>69</v>
      </c>
      <c r="I196" t="s">
        <v>75</v>
      </c>
      <c r="J196" t="s">
        <v>26</v>
      </c>
      <c r="K196" t="s">
        <v>38</v>
      </c>
      <c r="L196" t="s">
        <v>81</v>
      </c>
      <c r="M196" t="s">
        <v>312</v>
      </c>
      <c r="T196">
        <f t="shared" si="32"/>
        <v>1</v>
      </c>
      <c r="V196" s="2" t="str">
        <f t="shared" si="33"/>
        <v>La famille d'un élève qui présente des difficultés d'adaptation au collège, souhaite choisir la classe et le professeur principal de l'enfant.&amp;&amp;&amp;&amp;&amp;</v>
      </c>
      <c r="W196">
        <f t="shared" si="34"/>
        <v>1</v>
      </c>
      <c r="X196" t="str">
        <f t="shared" si="35"/>
        <v/>
      </c>
      <c r="Y196" t="str">
        <f t="shared" si="36"/>
        <v/>
      </c>
      <c r="Z196" t="str">
        <f t="shared" si="37"/>
        <v/>
      </c>
      <c r="AA196" t="str">
        <f t="shared" si="38"/>
        <v/>
      </c>
      <c r="AB196" t="str">
        <f t="shared" si="39"/>
        <v/>
      </c>
      <c r="AC196" t="str">
        <f t="shared" si="40"/>
        <v/>
      </c>
    </row>
    <row r="197" spans="1:29" x14ac:dyDescent="0.35">
      <c r="A197" s="1">
        <v>45587</v>
      </c>
      <c r="B197" s="1">
        <v>45608</v>
      </c>
      <c r="C197">
        <v>249948</v>
      </c>
      <c r="D197" t="s">
        <v>46</v>
      </c>
      <c r="E197" t="s">
        <v>14</v>
      </c>
      <c r="F197" t="s">
        <v>15</v>
      </c>
      <c r="G197" t="s">
        <v>16</v>
      </c>
      <c r="H197" t="s">
        <v>132</v>
      </c>
      <c r="I197" t="s">
        <v>43</v>
      </c>
      <c r="J197" t="s">
        <v>26</v>
      </c>
      <c r="K197" t="s">
        <v>38</v>
      </c>
      <c r="L197" t="s">
        <v>81</v>
      </c>
      <c r="M197" t="s">
        <v>313</v>
      </c>
      <c r="T197">
        <f t="shared" si="32"/>
        <v>1</v>
      </c>
      <c r="V197" s="2" t="str">
        <f t="shared" si="33"/>
        <v>Conteste la non application par la directrice des heures AESH accordées à leur fils. Entre la saisine adressée au pôle et sa transmission, courrier déjà transmis à l'IEN par la famille. Par précaution, second transfert ce jour&amp;&amp;&amp;&amp;&amp;</v>
      </c>
      <c r="W197">
        <f t="shared" si="34"/>
        <v>1</v>
      </c>
      <c r="X197" t="str">
        <f t="shared" si="35"/>
        <v/>
      </c>
      <c r="Y197" t="str">
        <f t="shared" si="36"/>
        <v/>
      </c>
      <c r="Z197" t="str">
        <f t="shared" si="37"/>
        <v/>
      </c>
      <c r="AA197" t="str">
        <f t="shared" si="38"/>
        <v/>
      </c>
      <c r="AB197" t="str">
        <f t="shared" si="39"/>
        <v/>
      </c>
      <c r="AC197" t="str">
        <f t="shared" si="40"/>
        <v/>
      </c>
    </row>
    <row r="198" spans="1:29" x14ac:dyDescent="0.35">
      <c r="A198" s="1">
        <v>45586</v>
      </c>
      <c r="B198" s="1">
        <v>45594</v>
      </c>
      <c r="C198">
        <v>248845</v>
      </c>
      <c r="D198" t="s">
        <v>20</v>
      </c>
      <c r="E198" t="s">
        <v>28</v>
      </c>
      <c r="F198" t="s">
        <v>74</v>
      </c>
      <c r="G198" t="s">
        <v>16</v>
      </c>
      <c r="H198" t="s">
        <v>116</v>
      </c>
      <c r="I198" t="s">
        <v>43</v>
      </c>
      <c r="J198" t="s">
        <v>26</v>
      </c>
      <c r="K198" t="s">
        <v>38</v>
      </c>
      <c r="L198" t="s">
        <v>108</v>
      </c>
      <c r="M198" t="s">
        <v>314</v>
      </c>
      <c r="T198">
        <f t="shared" si="32"/>
        <v>1</v>
      </c>
      <c r="V198" s="2" t="str">
        <f t="shared" si="33"/>
        <v>la famille demande la mise en place d'un PAP, recommandé par le médecin familial et non validé par médecin scolaire.&amp;&amp;&amp;&amp;&amp;</v>
      </c>
      <c r="W198">
        <f t="shared" si="34"/>
        <v>1</v>
      </c>
      <c r="X198" t="str">
        <f t="shared" si="35"/>
        <v/>
      </c>
      <c r="Y198" t="str">
        <f t="shared" si="36"/>
        <v/>
      </c>
      <c r="Z198" t="str">
        <f t="shared" si="37"/>
        <v/>
      </c>
      <c r="AA198" t="str">
        <f t="shared" si="38"/>
        <v/>
      </c>
      <c r="AB198" t="str">
        <f t="shared" si="39"/>
        <v/>
      </c>
      <c r="AC198" t="str">
        <f t="shared" si="40"/>
        <v/>
      </c>
    </row>
    <row r="199" spans="1:29" x14ac:dyDescent="0.35">
      <c r="A199" s="1">
        <v>45586</v>
      </c>
      <c r="B199" s="1">
        <v>45604</v>
      </c>
      <c r="C199">
        <v>248870</v>
      </c>
      <c r="D199" t="s">
        <v>97</v>
      </c>
      <c r="E199" t="s">
        <v>28</v>
      </c>
      <c r="F199" t="s">
        <v>55</v>
      </c>
      <c r="G199" t="s">
        <v>16</v>
      </c>
      <c r="H199" t="s">
        <v>89</v>
      </c>
      <c r="I199" t="s">
        <v>18</v>
      </c>
      <c r="J199" t="s">
        <v>26</v>
      </c>
      <c r="K199" t="s">
        <v>38</v>
      </c>
      <c r="L199" t="s">
        <v>81</v>
      </c>
      <c r="M199" t="s">
        <v>315</v>
      </c>
      <c r="T199">
        <f t="shared" si="32"/>
        <v>1</v>
      </c>
      <c r="V199" s="2" t="str">
        <f t="shared" si="33"/>
        <v>Parents qui contestent les mesures prises par l'établissement, notamment les appels répétés du principal. Considèrent cela comme de l'acharnement et craignent une réaction de leur enfant, lequel a une tendance dépressive. Principale recevra famille&amp;&amp;&amp;&amp;&amp;</v>
      </c>
      <c r="W199">
        <f t="shared" si="34"/>
        <v>1</v>
      </c>
      <c r="X199" t="str">
        <f t="shared" si="35"/>
        <v/>
      </c>
      <c r="Y199" t="str">
        <f t="shared" si="36"/>
        <v/>
      </c>
      <c r="Z199" t="str">
        <f t="shared" si="37"/>
        <v/>
      </c>
      <c r="AA199" t="str">
        <f t="shared" si="38"/>
        <v/>
      </c>
      <c r="AB199" t="str">
        <f t="shared" si="39"/>
        <v/>
      </c>
      <c r="AC199" t="str">
        <f t="shared" si="40"/>
        <v/>
      </c>
    </row>
    <row r="200" spans="1:29" x14ac:dyDescent="0.35">
      <c r="A200" s="1">
        <v>45586</v>
      </c>
      <c r="B200" s="1">
        <v>45604</v>
      </c>
      <c r="C200">
        <v>248892</v>
      </c>
      <c r="D200" t="s">
        <v>13</v>
      </c>
      <c r="E200" t="s">
        <v>28</v>
      </c>
      <c r="F200" t="s">
        <v>74</v>
      </c>
      <c r="G200" t="s">
        <v>16</v>
      </c>
      <c r="H200" t="s">
        <v>17</v>
      </c>
      <c r="I200" t="s">
        <v>18</v>
      </c>
      <c r="J200" t="s">
        <v>26</v>
      </c>
      <c r="K200" t="s">
        <v>38</v>
      </c>
      <c r="L200" t="s">
        <v>81</v>
      </c>
      <c r="M200" t="s">
        <v>316</v>
      </c>
      <c r="T200">
        <f t="shared" si="32"/>
        <v>1</v>
      </c>
      <c r="V200" s="2" t="str">
        <f t="shared" si="33"/>
        <v>Mise en cause de l'infirmière scolaire qui n'aurait pas bien traité la migraine de sa fille. Mauvaise foi de la famille qui a refusé la discussion avec l'établissement&amp;&amp;&amp;&amp;&amp;</v>
      </c>
      <c r="W200">
        <f t="shared" si="34"/>
        <v>1</v>
      </c>
      <c r="X200" t="str">
        <f t="shared" si="35"/>
        <v/>
      </c>
      <c r="Y200" t="str">
        <f t="shared" si="36"/>
        <v/>
      </c>
      <c r="Z200" t="str">
        <f t="shared" si="37"/>
        <v/>
      </c>
      <c r="AA200" t="str">
        <f t="shared" si="38"/>
        <v/>
      </c>
      <c r="AB200" t="str">
        <f t="shared" si="39"/>
        <v/>
      </c>
      <c r="AC200" t="str">
        <f t="shared" si="40"/>
        <v/>
      </c>
    </row>
  </sheetData>
  <autoFilter ref="A1:AD20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Étude_IEF_15012025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LEWIN</dc:creator>
  <cp:lastModifiedBy>Paul NOUAILLE-DEGORCE</cp:lastModifiedBy>
  <cp:lastPrinted>2025-01-16T10:24:48Z</cp:lastPrinted>
  <dcterms:created xsi:type="dcterms:W3CDTF">2025-01-15T14:05:45Z</dcterms:created>
  <dcterms:modified xsi:type="dcterms:W3CDTF">2025-12-05T09:34:00Z</dcterms:modified>
</cp:coreProperties>
</file>